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N6DI5Rn6mDdqrVmdXJ/qNitfgCukxH12QRVtklpa9g="/>
    </ext>
  </extLst>
</workbook>
</file>

<file path=xl/sharedStrings.xml><?xml version="1.0" encoding="utf-8"?>
<sst xmlns="http://schemas.openxmlformats.org/spreadsheetml/2006/main" count="151" uniqueCount="28">
  <si>
    <t>Serial Number</t>
  </si>
  <si>
    <t>Date</t>
  </si>
  <si>
    <t>Feed TPD - PS</t>
  </si>
  <si>
    <t>PS - TS %</t>
  </si>
  <si>
    <t>PS - VS %</t>
  </si>
  <si>
    <t>Feed TPD - PMC</t>
  </si>
  <si>
    <t>PMC - TS %</t>
  </si>
  <si>
    <t>PMC - VS %</t>
  </si>
  <si>
    <t>Feed TPD - CD</t>
  </si>
  <si>
    <t>CD - TS %</t>
  </si>
  <si>
    <t>CD - VS %</t>
  </si>
  <si>
    <t>Total_Feed_TPD</t>
  </si>
  <si>
    <t>Total_VS_TPD</t>
  </si>
  <si>
    <t>Feed_TPD_Lag_1</t>
  </si>
  <si>
    <t>Feed_TPD_Lag_3</t>
  </si>
  <si>
    <t>Feed_TPD_Lag_7</t>
  </si>
  <si>
    <t>Rolling_Avg_Feed_7D</t>
  </si>
  <si>
    <t>Rolling_Avg_VS_7D</t>
  </si>
  <si>
    <t>Hydrolyser Temp - Avg</t>
  </si>
  <si>
    <t>Digester Temp - Avg</t>
  </si>
  <si>
    <t>HRT</t>
  </si>
  <si>
    <t>VFA</t>
  </si>
  <si>
    <t>OLR</t>
  </si>
  <si>
    <t>Raw biogas production (Nm³/day)</t>
  </si>
  <si>
    <t>Slurry fed into the digester (Nm3)</t>
  </si>
  <si>
    <t>Slurry fed out of the digester (Nm3)</t>
  </si>
  <si>
    <t>CBG Production (kg/day)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</si>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</sst>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mm&quot; &quot;d&quot;, &quot;yyyy"/>
  </numFmts>
  <fonts count="4">
    <font>
      <sz val="10.0"/>
      <color rgb="FF000000"/>
      <name val="Arial"/>
      <scheme val="minor"/>
    </font>
    <font>
      <b/>
      <i/>
      <sz val="9.0"/>
      <color theme="1"/>
      <name val="Arial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5" fontId="3" numFmtId="164" xfId="0" applyAlignment="1" applyFill="1" applyFont="1" applyNumberFormat="1">
      <alignment horizontal="center"/>
    </xf>
    <xf borderId="0" fillId="5" fontId="3" numFmtId="0" xfId="0" applyAlignment="1" applyFont="1">
      <alignment horizontal="center"/>
    </xf>
    <xf borderId="0" fillId="6" fontId="3" numFmtId="0" xfId="0" applyAlignment="1" applyFill="1" applyFont="1">
      <alignment horizontal="center"/>
    </xf>
    <xf borderId="0" fillId="6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6" fontId="3" numFmtId="1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25"/>
    <col customWidth="1" min="2" max="2" width="21.88"/>
    <col customWidth="1" min="14" max="18" width="13.88"/>
    <col customWidth="1" min="24" max="26" width="16.25"/>
  </cols>
  <sheetData>
    <row r="1" ht="32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5" t="s">
        <v>22</v>
      </c>
      <c r="X1" s="5" t="s">
        <v>23</v>
      </c>
      <c r="Y1" s="4" t="s">
        <v>24</v>
      </c>
      <c r="Z1" s="4" t="s">
        <v>25</v>
      </c>
      <c r="AA1" s="2" t="s">
        <v>26</v>
      </c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.75" customHeight="1">
      <c r="A2" s="6">
        <v>1.0</v>
      </c>
      <c r="B2" s="7">
        <v>49310.0</v>
      </c>
      <c r="C2" s="8">
        <v>30.6</v>
      </c>
      <c r="D2" s="8">
        <v>88.4</v>
      </c>
      <c r="E2" s="8">
        <v>83.7</v>
      </c>
      <c r="F2" s="8">
        <v>30.6</v>
      </c>
      <c r="G2" s="8">
        <v>88.4</v>
      </c>
      <c r="H2" s="8">
        <v>83.7</v>
      </c>
      <c r="I2" s="8">
        <v>36.0</v>
      </c>
      <c r="J2" s="8">
        <v>30.8</v>
      </c>
      <c r="K2" s="8">
        <v>75.3</v>
      </c>
      <c r="L2" s="9">
        <f t="shared" ref="L2:L647" si="1">C2+F2+I2</f>
        <v>97.2</v>
      </c>
      <c r="M2" s="9">
        <f t="shared" ref="M2:M647" si="2">(C2*D2*E2+F2*G2*H2+I2*J2*K2)/10^4</f>
        <v>53.6316336</v>
      </c>
      <c r="N2" s="9"/>
      <c r="O2" s="9"/>
      <c r="P2" s="9"/>
      <c r="Q2" s="9"/>
      <c r="R2" s="10"/>
      <c r="S2" s="11" t="s">
        <v>27</v>
      </c>
      <c r="T2" s="11" t="s">
        <v>27</v>
      </c>
      <c r="U2" s="12">
        <v>1.81</v>
      </c>
      <c r="V2" s="12">
        <v>10552.1</v>
      </c>
      <c r="W2" s="12">
        <v>37.0</v>
      </c>
      <c r="X2" s="8">
        <v>18967.0</v>
      </c>
      <c r="Y2" s="8">
        <v>760.0</v>
      </c>
      <c r="Z2" s="8">
        <v>513.0</v>
      </c>
      <c r="AA2" s="8">
        <v>6.169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ht="15.75" customHeight="1">
      <c r="A3" s="6">
        <v>2.0</v>
      </c>
      <c r="B3" s="7">
        <v>49311.0</v>
      </c>
      <c r="C3" s="8">
        <v>13.5</v>
      </c>
      <c r="D3" s="8">
        <v>89.5</v>
      </c>
      <c r="E3" s="8">
        <v>85.0</v>
      </c>
      <c r="F3" s="8">
        <v>13.5</v>
      </c>
      <c r="G3" s="8">
        <v>89.5</v>
      </c>
      <c r="H3" s="8">
        <v>85.0</v>
      </c>
      <c r="I3" s="8">
        <v>40.0</v>
      </c>
      <c r="J3" s="8">
        <v>38.8</v>
      </c>
      <c r="K3" s="8">
        <v>69.2</v>
      </c>
      <c r="L3" s="9">
        <f t="shared" si="1"/>
        <v>67</v>
      </c>
      <c r="M3" s="9">
        <f t="shared" si="2"/>
        <v>31.28009</v>
      </c>
      <c r="N3" s="9">
        <f t="shared" ref="N3:N647" si="3">C2+F2+I2</f>
        <v>97.2</v>
      </c>
      <c r="O3" s="9"/>
      <c r="P3" s="9"/>
      <c r="Q3" s="9"/>
      <c r="R3" s="10"/>
      <c r="S3" s="11" t="s">
        <v>27</v>
      </c>
      <c r="T3" s="11" t="s">
        <v>27</v>
      </c>
      <c r="U3" s="12">
        <v>2.81</v>
      </c>
      <c r="V3" s="12">
        <v>10350.8</v>
      </c>
      <c r="W3" s="12">
        <v>21.0</v>
      </c>
      <c r="X3" s="8">
        <v>20608.0</v>
      </c>
      <c r="Y3" s="8">
        <v>810.0</v>
      </c>
      <c r="Z3" s="8">
        <v>730.0</v>
      </c>
      <c r="AA3" s="8">
        <v>6.889</v>
      </c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ht="15.75" customHeight="1">
      <c r="A4" s="6">
        <v>3.0</v>
      </c>
      <c r="B4" s="7">
        <v>49312.0</v>
      </c>
      <c r="C4" s="8">
        <v>65.4</v>
      </c>
      <c r="D4" s="8">
        <v>81.3</v>
      </c>
      <c r="E4" s="8">
        <v>72.6</v>
      </c>
      <c r="F4" s="8">
        <v>65.4</v>
      </c>
      <c r="G4" s="8">
        <v>81.3</v>
      </c>
      <c r="H4" s="8">
        <v>72.6</v>
      </c>
      <c r="I4" s="8">
        <v>43.0</v>
      </c>
      <c r="J4" s="8">
        <v>39.9</v>
      </c>
      <c r="K4" s="8">
        <v>71.9</v>
      </c>
      <c r="L4" s="9">
        <f t="shared" si="1"/>
        <v>173.8</v>
      </c>
      <c r="M4" s="9">
        <f t="shared" si="2"/>
        <v>89.5390134</v>
      </c>
      <c r="N4" s="9">
        <f t="shared" si="3"/>
        <v>67</v>
      </c>
      <c r="O4" s="9">
        <f t="shared" ref="O4:O647" si="4">N3</f>
        <v>97.2</v>
      </c>
      <c r="P4" s="9"/>
      <c r="Q4" s="9"/>
      <c r="R4" s="10"/>
      <c r="S4" s="11" t="s">
        <v>27</v>
      </c>
      <c r="T4" s="11" t="s">
        <v>27</v>
      </c>
      <c r="U4" s="12">
        <v>3.7</v>
      </c>
      <c r="V4" s="12">
        <v>9560.4</v>
      </c>
      <c r="W4" s="12">
        <v>19.0</v>
      </c>
      <c r="X4" s="8">
        <v>20395.0</v>
      </c>
      <c r="Y4" s="8">
        <v>885.0</v>
      </c>
      <c r="Z4" s="8">
        <v>622.0</v>
      </c>
      <c r="AA4" s="8">
        <v>6.907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ht="15.75" customHeight="1">
      <c r="A5" s="6">
        <v>4.0</v>
      </c>
      <c r="B5" s="7">
        <v>49313.0</v>
      </c>
      <c r="C5" s="8">
        <v>23.5</v>
      </c>
      <c r="D5" s="8">
        <v>85.9</v>
      </c>
      <c r="E5" s="8">
        <v>76.3</v>
      </c>
      <c r="F5" s="8">
        <v>23.5</v>
      </c>
      <c r="G5" s="8">
        <v>85.9</v>
      </c>
      <c r="H5" s="8">
        <v>76.3</v>
      </c>
      <c r="I5" s="8">
        <v>21.0</v>
      </c>
      <c r="J5" s="8">
        <v>36.5</v>
      </c>
      <c r="K5" s="8">
        <v>72.1</v>
      </c>
      <c r="L5" s="9">
        <f t="shared" si="1"/>
        <v>68</v>
      </c>
      <c r="M5" s="9">
        <f t="shared" si="2"/>
        <v>36.331064</v>
      </c>
      <c r="N5" s="9">
        <f t="shared" si="3"/>
        <v>173.8</v>
      </c>
      <c r="O5" s="9">
        <f t="shared" si="4"/>
        <v>67</v>
      </c>
      <c r="P5" s="9"/>
      <c r="Q5" s="9"/>
      <c r="R5" s="10"/>
      <c r="S5" s="11" t="s">
        <v>27</v>
      </c>
      <c r="T5" s="11" t="s">
        <v>27</v>
      </c>
      <c r="U5" s="12">
        <v>1.96</v>
      </c>
      <c r="V5" s="12">
        <v>14206.2</v>
      </c>
      <c r="W5" s="12">
        <v>32.0</v>
      </c>
      <c r="X5" s="8">
        <v>21721.0</v>
      </c>
      <c r="Y5" s="8">
        <v>890.0</v>
      </c>
      <c r="Z5" s="8">
        <v>512.0</v>
      </c>
      <c r="AA5" s="8">
        <v>6.808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ht="15.75" customHeight="1">
      <c r="A6" s="6">
        <v>5.0</v>
      </c>
      <c r="B6" s="7">
        <v>49314.0</v>
      </c>
      <c r="C6" s="8">
        <v>22.3</v>
      </c>
      <c r="D6" s="8">
        <v>76.3</v>
      </c>
      <c r="E6" s="8">
        <v>70.4</v>
      </c>
      <c r="F6" s="8">
        <v>22.3</v>
      </c>
      <c r="G6" s="8">
        <v>76.3</v>
      </c>
      <c r="H6" s="8">
        <v>70.4</v>
      </c>
      <c r="I6" s="8">
        <v>0.0</v>
      </c>
      <c r="J6" s="8">
        <v>36.5</v>
      </c>
      <c r="K6" s="8">
        <v>72.1</v>
      </c>
      <c r="L6" s="9">
        <f t="shared" si="1"/>
        <v>44.6</v>
      </c>
      <c r="M6" s="9">
        <f t="shared" si="2"/>
        <v>23.9569792</v>
      </c>
      <c r="N6" s="9">
        <f t="shared" si="3"/>
        <v>68</v>
      </c>
      <c r="O6" s="9">
        <f t="shared" si="4"/>
        <v>173.8</v>
      </c>
      <c r="P6" s="9"/>
      <c r="Q6" s="9"/>
      <c r="R6" s="10"/>
      <c r="S6" s="11" t="s">
        <v>27</v>
      </c>
      <c r="T6" s="11" t="s">
        <v>27</v>
      </c>
      <c r="U6" s="12">
        <v>2.3</v>
      </c>
      <c r="V6" s="12">
        <v>9078.0</v>
      </c>
      <c r="W6" s="12">
        <v>25.0</v>
      </c>
      <c r="X6" s="8">
        <v>21032.0</v>
      </c>
      <c r="Y6" s="8">
        <v>741.0</v>
      </c>
      <c r="Z6" s="8">
        <v>692.0</v>
      </c>
      <c r="AA6" s="8">
        <v>7.164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ht="15.75" customHeight="1">
      <c r="A7" s="6">
        <v>6.0</v>
      </c>
      <c r="B7" s="7">
        <v>49315.0</v>
      </c>
      <c r="C7" s="8">
        <v>10.8</v>
      </c>
      <c r="D7" s="8">
        <v>89.6</v>
      </c>
      <c r="E7" s="8">
        <v>71.0</v>
      </c>
      <c r="F7" s="8">
        <v>10.8</v>
      </c>
      <c r="G7" s="8">
        <v>89.6</v>
      </c>
      <c r="H7" s="8">
        <v>71.0</v>
      </c>
      <c r="I7" s="8">
        <v>21.0</v>
      </c>
      <c r="J7" s="8">
        <v>36.5</v>
      </c>
      <c r="K7" s="8">
        <v>72.1</v>
      </c>
      <c r="L7" s="9">
        <f t="shared" si="1"/>
        <v>42.6</v>
      </c>
      <c r="M7" s="9">
        <f t="shared" si="2"/>
        <v>19.267521</v>
      </c>
      <c r="N7" s="9">
        <f t="shared" si="3"/>
        <v>44.6</v>
      </c>
      <c r="O7" s="9">
        <f t="shared" si="4"/>
        <v>68</v>
      </c>
      <c r="P7" s="9"/>
      <c r="Q7" s="9"/>
      <c r="R7" s="10"/>
      <c r="S7" s="11" t="s">
        <v>27</v>
      </c>
      <c r="T7" s="11" t="s">
        <v>27</v>
      </c>
      <c r="U7" s="12">
        <v>2.07</v>
      </c>
      <c r="V7" s="12">
        <v>10183.3</v>
      </c>
      <c r="W7" s="12">
        <v>34.0</v>
      </c>
      <c r="X7" s="8">
        <v>22295.0</v>
      </c>
      <c r="Y7" s="8">
        <v>629.0</v>
      </c>
      <c r="Z7" s="8">
        <v>540.0</v>
      </c>
      <c r="AA7" s="8">
        <v>7.551</v>
      </c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ht="15.75" customHeight="1">
      <c r="A8" s="6">
        <v>7.0</v>
      </c>
      <c r="B8" s="7">
        <v>49316.0</v>
      </c>
      <c r="C8" s="8">
        <v>5.5</v>
      </c>
      <c r="D8" s="8">
        <v>81.6</v>
      </c>
      <c r="E8" s="8">
        <v>81.0</v>
      </c>
      <c r="F8" s="8">
        <v>5.5</v>
      </c>
      <c r="G8" s="8">
        <v>81.6</v>
      </c>
      <c r="H8" s="8">
        <v>81.0</v>
      </c>
      <c r="I8" s="8">
        <v>0.0</v>
      </c>
      <c r="J8" s="8">
        <v>36.5</v>
      </c>
      <c r="K8" s="8">
        <v>72.1</v>
      </c>
      <c r="L8" s="9">
        <f t="shared" si="1"/>
        <v>11</v>
      </c>
      <c r="M8" s="9">
        <f t="shared" si="2"/>
        <v>7.27056</v>
      </c>
      <c r="N8" s="9">
        <f t="shared" si="3"/>
        <v>42.6</v>
      </c>
      <c r="O8" s="9">
        <f t="shared" si="4"/>
        <v>44.6</v>
      </c>
      <c r="P8" s="9">
        <f t="shared" ref="P8:P647" si="6">N3</f>
        <v>97.2</v>
      </c>
      <c r="Q8" s="9">
        <f t="shared" ref="Q8:R8" si="5">average(L2:L8)</f>
        <v>72.02857143</v>
      </c>
      <c r="R8" s="9">
        <f t="shared" si="5"/>
        <v>37.32526589</v>
      </c>
      <c r="S8" s="11" t="s">
        <v>27</v>
      </c>
      <c r="T8" s="11" t="s">
        <v>27</v>
      </c>
      <c r="U8" s="12">
        <v>2.25</v>
      </c>
      <c r="V8" s="12">
        <v>5913.0</v>
      </c>
      <c r="W8" s="12">
        <v>27.0</v>
      </c>
      <c r="X8" s="8">
        <v>19281.0</v>
      </c>
      <c r="Y8" s="8">
        <v>633.0</v>
      </c>
      <c r="Z8" s="8">
        <v>548.0</v>
      </c>
      <c r="AA8" s="8">
        <v>6.47</v>
      </c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ht="15.75" customHeight="1">
      <c r="A9" s="6">
        <v>8.0</v>
      </c>
      <c r="B9" s="7">
        <v>49317.0</v>
      </c>
      <c r="C9" s="8">
        <v>6.4</v>
      </c>
      <c r="D9" s="8">
        <v>88.9</v>
      </c>
      <c r="E9" s="8">
        <v>81.1</v>
      </c>
      <c r="F9" s="8">
        <v>6.4</v>
      </c>
      <c r="G9" s="8">
        <v>88.9</v>
      </c>
      <c r="H9" s="8">
        <v>81.1</v>
      </c>
      <c r="I9" s="8">
        <v>20.0</v>
      </c>
      <c r="J9" s="8">
        <v>32.3</v>
      </c>
      <c r="K9" s="8">
        <v>75.8</v>
      </c>
      <c r="L9" s="9">
        <f t="shared" si="1"/>
        <v>32.8</v>
      </c>
      <c r="M9" s="9">
        <f t="shared" si="2"/>
        <v>14.1252112</v>
      </c>
      <c r="N9" s="9">
        <f t="shared" si="3"/>
        <v>11</v>
      </c>
      <c r="O9" s="9">
        <f t="shared" si="4"/>
        <v>42.6</v>
      </c>
      <c r="P9" s="9">
        <f t="shared" si="6"/>
        <v>67</v>
      </c>
      <c r="Q9" s="9">
        <f t="shared" ref="Q9:R9" si="7">average(L3:L9)</f>
        <v>62.82857143</v>
      </c>
      <c r="R9" s="9">
        <f t="shared" si="7"/>
        <v>31.68149126</v>
      </c>
      <c r="S9" s="11" t="s">
        <v>27</v>
      </c>
      <c r="T9" s="11" t="s">
        <v>27</v>
      </c>
      <c r="U9" s="12">
        <v>2.24</v>
      </c>
      <c r="V9" s="12">
        <v>6087.9</v>
      </c>
      <c r="W9" s="12">
        <v>29.0</v>
      </c>
      <c r="X9" s="8">
        <v>18087.0</v>
      </c>
      <c r="Y9" s="8">
        <v>574.0</v>
      </c>
      <c r="Z9" s="8">
        <v>383.0</v>
      </c>
      <c r="AA9" s="8">
        <v>5.786</v>
      </c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ht="15.75" customHeight="1">
      <c r="A10" s="6">
        <v>9.0</v>
      </c>
      <c r="B10" s="7">
        <v>49318.0</v>
      </c>
      <c r="C10" s="8">
        <v>52.8</v>
      </c>
      <c r="D10" s="8">
        <v>98.0</v>
      </c>
      <c r="E10" s="8">
        <v>82.7</v>
      </c>
      <c r="F10" s="8">
        <v>52.8</v>
      </c>
      <c r="G10" s="8">
        <v>98.0</v>
      </c>
      <c r="H10" s="8">
        <v>82.7</v>
      </c>
      <c r="I10" s="8">
        <v>20.0</v>
      </c>
      <c r="J10" s="8">
        <v>35.6</v>
      </c>
      <c r="K10" s="8">
        <v>72.8</v>
      </c>
      <c r="L10" s="9">
        <f t="shared" si="1"/>
        <v>125.6</v>
      </c>
      <c r="M10" s="9">
        <f t="shared" si="2"/>
        <v>90.767936</v>
      </c>
      <c r="N10" s="9">
        <f t="shared" si="3"/>
        <v>32.8</v>
      </c>
      <c r="O10" s="9">
        <f t="shared" si="4"/>
        <v>11</v>
      </c>
      <c r="P10" s="9">
        <f t="shared" si="6"/>
        <v>173.8</v>
      </c>
      <c r="Q10" s="9">
        <f t="shared" ref="Q10:R10" si="8">average(L4:L10)</f>
        <v>71.2</v>
      </c>
      <c r="R10" s="9">
        <f t="shared" si="8"/>
        <v>40.17975497</v>
      </c>
      <c r="S10" s="11" t="s">
        <v>27</v>
      </c>
      <c r="T10" s="11" t="s">
        <v>27</v>
      </c>
      <c r="U10" s="12">
        <v>2.64</v>
      </c>
      <c r="V10" s="12">
        <v>7832.9</v>
      </c>
      <c r="W10" s="12">
        <v>29.0</v>
      </c>
      <c r="X10" s="8">
        <v>21258.0</v>
      </c>
      <c r="Y10" s="8">
        <v>837.0</v>
      </c>
      <c r="Z10" s="8">
        <v>379.0</v>
      </c>
      <c r="AA10" s="8">
        <v>6.401</v>
      </c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ht="15.75" customHeight="1">
      <c r="A11" s="6">
        <v>10.0</v>
      </c>
      <c r="B11" s="7">
        <v>49319.0</v>
      </c>
      <c r="C11" s="8">
        <v>43.6</v>
      </c>
      <c r="D11" s="8">
        <v>86.6</v>
      </c>
      <c r="E11" s="8">
        <v>82.3</v>
      </c>
      <c r="F11" s="8">
        <v>43.6</v>
      </c>
      <c r="G11" s="8">
        <v>86.6</v>
      </c>
      <c r="H11" s="8">
        <v>82.3</v>
      </c>
      <c r="I11" s="8">
        <v>24.0</v>
      </c>
      <c r="J11" s="8">
        <v>33.0</v>
      </c>
      <c r="K11" s="8">
        <v>72.4</v>
      </c>
      <c r="L11" s="9">
        <f t="shared" si="1"/>
        <v>111.2</v>
      </c>
      <c r="M11" s="9">
        <f t="shared" si="2"/>
        <v>67.8830896</v>
      </c>
      <c r="N11" s="9">
        <f t="shared" si="3"/>
        <v>125.6</v>
      </c>
      <c r="O11" s="9">
        <f t="shared" si="4"/>
        <v>32.8</v>
      </c>
      <c r="P11" s="9">
        <f t="shared" si="6"/>
        <v>68</v>
      </c>
      <c r="Q11" s="9">
        <f t="shared" ref="Q11:R11" si="9">average(L5:L11)</f>
        <v>62.25714286</v>
      </c>
      <c r="R11" s="9">
        <f t="shared" si="9"/>
        <v>37.08605157</v>
      </c>
      <c r="S11" s="11" t="s">
        <v>27</v>
      </c>
      <c r="T11" s="11" t="s">
        <v>27</v>
      </c>
      <c r="U11" s="12">
        <v>2.07</v>
      </c>
      <c r="V11" s="12">
        <v>9476.7</v>
      </c>
      <c r="W11" s="12">
        <v>30.0</v>
      </c>
      <c r="X11" s="8">
        <v>23382.0</v>
      </c>
      <c r="Y11" s="8">
        <v>656.0</v>
      </c>
      <c r="Z11" s="8">
        <v>476.0</v>
      </c>
      <c r="AA11" s="8">
        <v>6.886</v>
      </c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ht="15.75" customHeight="1">
      <c r="A12" s="6">
        <v>11.0</v>
      </c>
      <c r="B12" s="7">
        <v>49320.0</v>
      </c>
      <c r="C12" s="8">
        <v>41.0</v>
      </c>
      <c r="D12" s="8">
        <v>83.3</v>
      </c>
      <c r="E12" s="8">
        <v>83.0</v>
      </c>
      <c r="F12" s="8">
        <v>41.0</v>
      </c>
      <c r="G12" s="8">
        <v>83.3</v>
      </c>
      <c r="H12" s="8">
        <v>83.0</v>
      </c>
      <c r="I12" s="8">
        <v>26.0</v>
      </c>
      <c r="J12" s="8">
        <v>36.4</v>
      </c>
      <c r="K12" s="8">
        <v>80.2</v>
      </c>
      <c r="L12" s="9">
        <f t="shared" si="1"/>
        <v>108</v>
      </c>
      <c r="M12" s="9">
        <f t="shared" si="2"/>
        <v>64.284108</v>
      </c>
      <c r="N12" s="9">
        <f t="shared" si="3"/>
        <v>111.2</v>
      </c>
      <c r="O12" s="9">
        <f t="shared" si="4"/>
        <v>125.6</v>
      </c>
      <c r="P12" s="9">
        <f t="shared" si="6"/>
        <v>44.6</v>
      </c>
      <c r="Q12" s="9">
        <f t="shared" ref="Q12:R12" si="10">average(L6:L12)</f>
        <v>67.97142857</v>
      </c>
      <c r="R12" s="9">
        <f t="shared" si="10"/>
        <v>41.07934357</v>
      </c>
      <c r="S12" s="11" t="s">
        <v>27</v>
      </c>
      <c r="T12" s="11" t="s">
        <v>27</v>
      </c>
      <c r="U12" s="12">
        <v>3.46</v>
      </c>
      <c r="V12" s="12">
        <v>9987.1</v>
      </c>
      <c r="W12" s="12">
        <v>20.0</v>
      </c>
      <c r="X12" s="8">
        <v>23749.0</v>
      </c>
      <c r="Y12" s="8">
        <v>943.0</v>
      </c>
      <c r="Z12" s="8">
        <v>591.0</v>
      </c>
      <c r="AA12" s="8">
        <v>6.921</v>
      </c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ht="15.75" customHeight="1">
      <c r="A13" s="6">
        <v>12.0</v>
      </c>
      <c r="B13" s="7">
        <v>49321.0</v>
      </c>
      <c r="C13" s="8">
        <v>32.5</v>
      </c>
      <c r="D13" s="8">
        <v>92.3</v>
      </c>
      <c r="E13" s="8">
        <v>85.4</v>
      </c>
      <c r="F13" s="8">
        <v>32.5</v>
      </c>
      <c r="G13" s="8">
        <v>92.3</v>
      </c>
      <c r="H13" s="8">
        <v>85.4</v>
      </c>
      <c r="I13" s="8">
        <v>21.0</v>
      </c>
      <c r="J13" s="8">
        <v>30.4</v>
      </c>
      <c r="K13" s="8">
        <v>82.2</v>
      </c>
      <c r="L13" s="9">
        <f t="shared" si="1"/>
        <v>86</v>
      </c>
      <c r="M13" s="9">
        <f t="shared" si="2"/>
        <v>56.483378</v>
      </c>
      <c r="N13" s="9">
        <f t="shared" si="3"/>
        <v>108</v>
      </c>
      <c r="O13" s="9">
        <f t="shared" si="4"/>
        <v>111.2</v>
      </c>
      <c r="P13" s="9">
        <f t="shared" si="6"/>
        <v>42.6</v>
      </c>
      <c r="Q13" s="9">
        <f t="shared" ref="Q13:R13" si="11">average(L7:L13)</f>
        <v>73.88571429</v>
      </c>
      <c r="R13" s="9">
        <f t="shared" si="11"/>
        <v>45.72597197</v>
      </c>
      <c r="S13" s="11" t="s">
        <v>27</v>
      </c>
      <c r="T13" s="11" t="s">
        <v>27</v>
      </c>
      <c r="U13" s="12">
        <v>3.52</v>
      </c>
      <c r="V13" s="12">
        <v>8896.1</v>
      </c>
      <c r="W13" s="12">
        <v>21.0</v>
      </c>
      <c r="X13" s="8">
        <v>21796.0</v>
      </c>
      <c r="Y13" s="8">
        <v>795.0</v>
      </c>
      <c r="Z13" s="8">
        <v>569.0</v>
      </c>
      <c r="AA13" s="8">
        <v>6.166</v>
      </c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ht="15.75" customHeight="1">
      <c r="A14" s="6">
        <v>13.0</v>
      </c>
      <c r="B14" s="7">
        <v>49322.0</v>
      </c>
      <c r="C14" s="8">
        <v>35.0</v>
      </c>
      <c r="D14" s="8">
        <v>85.2</v>
      </c>
      <c r="E14" s="8">
        <v>83.3</v>
      </c>
      <c r="F14" s="8">
        <v>35.0</v>
      </c>
      <c r="G14" s="8">
        <v>85.2</v>
      </c>
      <c r="H14" s="8">
        <v>83.3</v>
      </c>
      <c r="I14" s="8">
        <v>21.0</v>
      </c>
      <c r="J14" s="8">
        <v>38.9</v>
      </c>
      <c r="K14" s="8">
        <v>80.2</v>
      </c>
      <c r="L14" s="9">
        <f t="shared" si="1"/>
        <v>91</v>
      </c>
      <c r="M14" s="9">
        <f t="shared" si="2"/>
        <v>56.231658</v>
      </c>
      <c r="N14" s="9">
        <f t="shared" si="3"/>
        <v>86</v>
      </c>
      <c r="O14" s="9">
        <f t="shared" si="4"/>
        <v>108</v>
      </c>
      <c r="P14" s="9">
        <f t="shared" si="6"/>
        <v>11</v>
      </c>
      <c r="Q14" s="9">
        <f t="shared" ref="Q14:R14" si="12">average(L8:L14)</f>
        <v>80.8</v>
      </c>
      <c r="R14" s="9">
        <f t="shared" si="12"/>
        <v>51.00656297</v>
      </c>
      <c r="S14" s="11" t="s">
        <v>27</v>
      </c>
      <c r="T14" s="11" t="s">
        <v>27</v>
      </c>
      <c r="U14" s="12">
        <v>2.32</v>
      </c>
      <c r="V14" s="12">
        <v>10048.9</v>
      </c>
      <c r="W14" s="12">
        <v>21.0</v>
      </c>
      <c r="X14" s="8">
        <v>17234.0</v>
      </c>
      <c r="Y14" s="8">
        <v>811.0</v>
      </c>
      <c r="Z14" s="8">
        <v>441.0</v>
      </c>
      <c r="AA14" s="8">
        <v>6.127</v>
      </c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ht="15.75" customHeight="1">
      <c r="A15" s="6">
        <v>14.0</v>
      </c>
      <c r="B15" s="7">
        <v>49323.0</v>
      </c>
      <c r="C15" s="8">
        <v>27.8</v>
      </c>
      <c r="D15" s="8">
        <v>92.3</v>
      </c>
      <c r="E15" s="8">
        <v>83.4</v>
      </c>
      <c r="F15" s="8">
        <v>27.8</v>
      </c>
      <c r="G15" s="8">
        <v>92.3</v>
      </c>
      <c r="H15" s="8">
        <v>83.4</v>
      </c>
      <c r="I15" s="8">
        <v>21.0</v>
      </c>
      <c r="J15" s="8">
        <v>38.9</v>
      </c>
      <c r="K15" s="8">
        <v>80.2</v>
      </c>
      <c r="L15" s="9">
        <f t="shared" si="1"/>
        <v>76.6</v>
      </c>
      <c r="M15" s="9">
        <f t="shared" si="2"/>
        <v>49.3514172</v>
      </c>
      <c r="N15" s="9">
        <f t="shared" si="3"/>
        <v>91</v>
      </c>
      <c r="O15" s="9">
        <f t="shared" si="4"/>
        <v>86</v>
      </c>
      <c r="P15" s="9">
        <f t="shared" si="6"/>
        <v>32.8</v>
      </c>
      <c r="Q15" s="9">
        <f t="shared" ref="Q15:R15" si="13">average(L9:L15)</f>
        <v>90.17142857</v>
      </c>
      <c r="R15" s="9">
        <f t="shared" si="13"/>
        <v>57.018114</v>
      </c>
      <c r="S15" s="11" t="s">
        <v>27</v>
      </c>
      <c r="T15" s="11" t="s">
        <v>27</v>
      </c>
      <c r="U15" s="12">
        <v>3.04</v>
      </c>
      <c r="V15" s="12">
        <v>9355.5</v>
      </c>
      <c r="W15" s="12">
        <v>21.0</v>
      </c>
      <c r="X15" s="8">
        <v>20414.0</v>
      </c>
      <c r="Y15" s="8">
        <v>820.0</v>
      </c>
      <c r="Z15" s="8">
        <v>497.0</v>
      </c>
      <c r="AA15" s="8">
        <v>6.763</v>
      </c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ht="15.75" customHeight="1">
      <c r="A16" s="6">
        <v>15.0</v>
      </c>
      <c r="B16" s="7">
        <v>49324.0</v>
      </c>
      <c r="C16" s="8">
        <v>22.6</v>
      </c>
      <c r="D16" s="8">
        <v>94.2</v>
      </c>
      <c r="E16" s="8">
        <v>83.6</v>
      </c>
      <c r="F16" s="8">
        <v>22.6</v>
      </c>
      <c r="G16" s="8">
        <v>94.2</v>
      </c>
      <c r="H16" s="8">
        <v>83.6</v>
      </c>
      <c r="I16" s="8">
        <v>21.0</v>
      </c>
      <c r="J16" s="8">
        <v>38.9</v>
      </c>
      <c r="K16" s="8">
        <v>80.2</v>
      </c>
      <c r="L16" s="9">
        <f t="shared" si="1"/>
        <v>66.2</v>
      </c>
      <c r="M16" s="9">
        <f t="shared" si="2"/>
        <v>42.1470804</v>
      </c>
      <c r="N16" s="9">
        <f t="shared" si="3"/>
        <v>76.6</v>
      </c>
      <c r="O16" s="9">
        <f t="shared" si="4"/>
        <v>91</v>
      </c>
      <c r="P16" s="9">
        <f t="shared" si="6"/>
        <v>125.6</v>
      </c>
      <c r="Q16" s="9">
        <f t="shared" ref="Q16:R16" si="14">average(L10:L16)</f>
        <v>94.94285714</v>
      </c>
      <c r="R16" s="9">
        <f t="shared" si="14"/>
        <v>61.02123817</v>
      </c>
      <c r="S16" s="11" t="s">
        <v>27</v>
      </c>
      <c r="T16" s="11" t="s">
        <v>27</v>
      </c>
      <c r="U16" s="12">
        <v>2.78</v>
      </c>
      <c r="V16" s="12">
        <v>1678.1</v>
      </c>
      <c r="W16" s="12">
        <v>22.0</v>
      </c>
      <c r="X16" s="8">
        <v>18743.0</v>
      </c>
      <c r="Y16" s="8">
        <v>769.0</v>
      </c>
      <c r="Z16" s="8">
        <v>499.0</v>
      </c>
      <c r="AA16" s="8">
        <v>6.235</v>
      </c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ht="15.75" customHeight="1">
      <c r="A17" s="6">
        <v>16.0</v>
      </c>
      <c r="B17" s="7">
        <v>49325.0</v>
      </c>
      <c r="C17" s="8">
        <v>32.2</v>
      </c>
      <c r="D17" s="8">
        <v>84.3</v>
      </c>
      <c r="E17" s="8">
        <v>76.6</v>
      </c>
      <c r="F17" s="8">
        <v>32.2</v>
      </c>
      <c r="G17" s="8">
        <v>84.3</v>
      </c>
      <c r="H17" s="8">
        <v>76.6</v>
      </c>
      <c r="I17" s="8">
        <v>24.0</v>
      </c>
      <c r="J17" s="8">
        <v>38.9</v>
      </c>
      <c r="K17" s="8">
        <v>80.2</v>
      </c>
      <c r="L17" s="9">
        <f t="shared" si="1"/>
        <v>88.4</v>
      </c>
      <c r="M17" s="9">
        <f t="shared" si="2"/>
        <v>49.0729992</v>
      </c>
      <c r="N17" s="9">
        <f t="shared" si="3"/>
        <v>66.2</v>
      </c>
      <c r="O17" s="9">
        <f t="shared" si="4"/>
        <v>76.6</v>
      </c>
      <c r="P17" s="9">
        <f t="shared" si="6"/>
        <v>111.2</v>
      </c>
      <c r="Q17" s="9">
        <f t="shared" ref="Q17:R17" si="15">average(L11:L17)</f>
        <v>89.62857143</v>
      </c>
      <c r="R17" s="9">
        <f t="shared" si="15"/>
        <v>55.06481863</v>
      </c>
      <c r="S17" s="11" t="s">
        <v>27</v>
      </c>
      <c r="T17" s="11" t="s">
        <v>27</v>
      </c>
      <c r="U17" s="12">
        <v>3.18</v>
      </c>
      <c r="V17" s="12">
        <v>5364.7</v>
      </c>
      <c r="W17" s="12">
        <v>21.0</v>
      </c>
      <c r="X17" s="8">
        <v>19009.0</v>
      </c>
      <c r="Y17" s="8">
        <v>800.0</v>
      </c>
      <c r="Z17" s="8">
        <v>413.0</v>
      </c>
      <c r="AA17" s="8">
        <v>6.431</v>
      </c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ht="15.75" customHeight="1">
      <c r="A18" s="6">
        <v>17.0</v>
      </c>
      <c r="B18" s="7">
        <v>49326.0</v>
      </c>
      <c r="C18" s="8">
        <v>24.0</v>
      </c>
      <c r="D18" s="8">
        <v>92.8</v>
      </c>
      <c r="E18" s="8">
        <v>79.0</v>
      </c>
      <c r="F18" s="8">
        <v>24.0</v>
      </c>
      <c r="G18" s="8">
        <v>92.8</v>
      </c>
      <c r="H18" s="8">
        <v>79.0</v>
      </c>
      <c r="I18" s="8">
        <v>30.0</v>
      </c>
      <c r="J18" s="8">
        <v>38.9</v>
      </c>
      <c r="K18" s="8">
        <v>80.2</v>
      </c>
      <c r="L18" s="9">
        <f t="shared" si="1"/>
        <v>78</v>
      </c>
      <c r="M18" s="9">
        <f t="shared" si="2"/>
        <v>44.5491</v>
      </c>
      <c r="N18" s="9">
        <f t="shared" si="3"/>
        <v>88.4</v>
      </c>
      <c r="O18" s="9">
        <f t="shared" si="4"/>
        <v>66.2</v>
      </c>
      <c r="P18" s="9">
        <f t="shared" si="6"/>
        <v>108</v>
      </c>
      <c r="Q18" s="9">
        <f t="shared" ref="Q18:R18" si="16">average(L12:L18)</f>
        <v>84.88571429</v>
      </c>
      <c r="R18" s="9">
        <f t="shared" si="16"/>
        <v>51.73139154</v>
      </c>
      <c r="S18" s="11" t="s">
        <v>27</v>
      </c>
      <c r="T18" s="11" t="s">
        <v>27</v>
      </c>
      <c r="U18" s="12">
        <v>3.29</v>
      </c>
      <c r="V18" s="12">
        <v>7716.3</v>
      </c>
      <c r="W18" s="12">
        <v>20.0</v>
      </c>
      <c r="X18" s="8">
        <v>21120.0</v>
      </c>
      <c r="Y18" s="8">
        <v>860.0</v>
      </c>
      <c r="Z18" s="8">
        <v>584.0</v>
      </c>
      <c r="AA18" s="8">
        <v>7.424</v>
      </c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ht="15.75" customHeight="1">
      <c r="A19" s="6">
        <v>18.0</v>
      </c>
      <c r="B19" s="7">
        <v>49327.0</v>
      </c>
      <c r="C19" s="8">
        <v>22.5</v>
      </c>
      <c r="D19" s="8">
        <v>88.8</v>
      </c>
      <c r="E19" s="8">
        <v>84.6</v>
      </c>
      <c r="F19" s="8">
        <v>22.5</v>
      </c>
      <c r="G19" s="8">
        <v>88.8</v>
      </c>
      <c r="H19" s="8">
        <v>84.6</v>
      </c>
      <c r="I19" s="8">
        <v>30.0</v>
      </c>
      <c r="J19" s="8">
        <v>38.9</v>
      </c>
      <c r="K19" s="8">
        <v>80.2</v>
      </c>
      <c r="L19" s="9">
        <f t="shared" si="1"/>
        <v>75</v>
      </c>
      <c r="M19" s="9">
        <f t="shared" si="2"/>
        <v>43.1655</v>
      </c>
      <c r="N19" s="9">
        <f t="shared" si="3"/>
        <v>78</v>
      </c>
      <c r="O19" s="9">
        <f t="shared" si="4"/>
        <v>88.4</v>
      </c>
      <c r="P19" s="9">
        <f t="shared" si="6"/>
        <v>86</v>
      </c>
      <c r="Q19" s="9">
        <f t="shared" ref="Q19:R19" si="17">average(L13:L19)</f>
        <v>80.17142857</v>
      </c>
      <c r="R19" s="9">
        <f t="shared" si="17"/>
        <v>48.71444754</v>
      </c>
      <c r="S19" s="11" t="s">
        <v>27</v>
      </c>
      <c r="T19" s="11" t="s">
        <v>27</v>
      </c>
      <c r="U19" s="12">
        <v>2.96</v>
      </c>
      <c r="V19" s="12">
        <v>6390.3</v>
      </c>
      <c r="W19" s="12">
        <v>22.0</v>
      </c>
      <c r="X19" s="8">
        <v>19145.0</v>
      </c>
      <c r="Y19" s="8">
        <v>779.0</v>
      </c>
      <c r="Z19" s="8">
        <v>590.0</v>
      </c>
      <c r="AA19" s="8">
        <v>6.56</v>
      </c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ht="15.75" customHeight="1">
      <c r="A20" s="6">
        <v>19.0</v>
      </c>
      <c r="B20" s="7">
        <v>49328.0</v>
      </c>
      <c r="C20" s="8">
        <v>42.0</v>
      </c>
      <c r="D20" s="8">
        <v>93.1</v>
      </c>
      <c r="E20" s="8">
        <v>83.3</v>
      </c>
      <c r="F20" s="8">
        <v>42.0</v>
      </c>
      <c r="G20" s="8">
        <v>93.1</v>
      </c>
      <c r="H20" s="8">
        <v>83.3</v>
      </c>
      <c r="I20" s="8">
        <v>20.0</v>
      </c>
      <c r="J20" s="8">
        <v>38.9</v>
      </c>
      <c r="K20" s="8">
        <v>80.2</v>
      </c>
      <c r="L20" s="9">
        <f t="shared" si="1"/>
        <v>104</v>
      </c>
      <c r="M20" s="9">
        <f t="shared" si="2"/>
        <v>71.383492</v>
      </c>
      <c r="N20" s="9">
        <f t="shared" si="3"/>
        <v>75</v>
      </c>
      <c r="O20" s="9">
        <f t="shared" si="4"/>
        <v>78</v>
      </c>
      <c r="P20" s="9">
        <f t="shared" si="6"/>
        <v>91</v>
      </c>
      <c r="Q20" s="9">
        <f t="shared" ref="Q20:R20" si="18">average(L14:L20)</f>
        <v>82.74285714</v>
      </c>
      <c r="R20" s="9">
        <f t="shared" si="18"/>
        <v>50.84303526</v>
      </c>
      <c r="S20" s="11" t="s">
        <v>27</v>
      </c>
      <c r="T20" s="11" t="s">
        <v>27</v>
      </c>
      <c r="U20" s="12">
        <v>3.39</v>
      </c>
      <c r="V20" s="12">
        <v>5060.7</v>
      </c>
      <c r="W20" s="12">
        <v>20.0</v>
      </c>
      <c r="X20" s="8">
        <v>20638.0</v>
      </c>
      <c r="Y20" s="8">
        <v>762.0</v>
      </c>
      <c r="Z20" s="8">
        <v>538.0</v>
      </c>
      <c r="AA20" s="8">
        <v>6.985</v>
      </c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ht="15.75" customHeight="1">
      <c r="A21" s="6">
        <v>20.0</v>
      </c>
      <c r="B21" s="7">
        <v>49329.0</v>
      </c>
      <c r="C21" s="8">
        <v>47.7</v>
      </c>
      <c r="D21" s="8">
        <v>78.6</v>
      </c>
      <c r="E21" s="8">
        <v>81.4</v>
      </c>
      <c r="F21" s="8">
        <v>47.7</v>
      </c>
      <c r="G21" s="8">
        <v>78.6</v>
      </c>
      <c r="H21" s="8">
        <v>81.4</v>
      </c>
      <c r="I21" s="8">
        <v>28.0</v>
      </c>
      <c r="J21" s="8">
        <v>38.9</v>
      </c>
      <c r="K21" s="8">
        <v>80.2</v>
      </c>
      <c r="L21" s="9">
        <f t="shared" si="1"/>
        <v>123.4</v>
      </c>
      <c r="M21" s="9">
        <f t="shared" si="2"/>
        <v>69.7726856</v>
      </c>
      <c r="N21" s="9">
        <f t="shared" si="3"/>
        <v>104</v>
      </c>
      <c r="O21" s="9">
        <f t="shared" si="4"/>
        <v>75</v>
      </c>
      <c r="P21" s="9">
        <f t="shared" si="6"/>
        <v>76.6</v>
      </c>
      <c r="Q21" s="9">
        <f t="shared" ref="Q21:R21" si="19">average(L15:L21)</f>
        <v>87.37142857</v>
      </c>
      <c r="R21" s="9">
        <f t="shared" si="19"/>
        <v>52.77746777</v>
      </c>
      <c r="S21" s="11" t="s">
        <v>27</v>
      </c>
      <c r="T21" s="11" t="s">
        <v>27</v>
      </c>
      <c r="U21" s="12">
        <v>3.88</v>
      </c>
      <c r="V21" s="12">
        <v>5254.4</v>
      </c>
      <c r="W21" s="12">
        <v>18.0</v>
      </c>
      <c r="X21" s="8">
        <v>23102.0</v>
      </c>
      <c r="Y21" s="8">
        <v>795.0</v>
      </c>
      <c r="Z21" s="8">
        <v>624.0</v>
      </c>
      <c r="AA21" s="8">
        <v>7.385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ht="15.75" customHeight="1">
      <c r="A22" s="6">
        <v>21.0</v>
      </c>
      <c r="B22" s="7">
        <v>49330.0</v>
      </c>
      <c r="C22" s="8">
        <v>15.0</v>
      </c>
      <c r="D22" s="8">
        <v>84.1</v>
      </c>
      <c r="E22" s="8">
        <v>79.5</v>
      </c>
      <c r="F22" s="8">
        <v>15.0</v>
      </c>
      <c r="G22" s="8">
        <v>84.1</v>
      </c>
      <c r="H22" s="8">
        <v>79.5</v>
      </c>
      <c r="I22" s="8">
        <v>0.0</v>
      </c>
      <c r="J22" s="8">
        <v>38.9</v>
      </c>
      <c r="K22" s="8">
        <v>80.2</v>
      </c>
      <c r="L22" s="9">
        <f t="shared" si="1"/>
        <v>30</v>
      </c>
      <c r="M22" s="9">
        <f t="shared" si="2"/>
        <v>20.05785</v>
      </c>
      <c r="N22" s="9">
        <f t="shared" si="3"/>
        <v>123.4</v>
      </c>
      <c r="O22" s="9">
        <f t="shared" si="4"/>
        <v>104</v>
      </c>
      <c r="P22" s="9">
        <f t="shared" si="6"/>
        <v>66.2</v>
      </c>
      <c r="Q22" s="9">
        <f t="shared" ref="Q22:R22" si="20">average(L16:L22)</f>
        <v>80.71428571</v>
      </c>
      <c r="R22" s="9">
        <f t="shared" si="20"/>
        <v>48.59267246</v>
      </c>
      <c r="S22" s="11" t="s">
        <v>27</v>
      </c>
      <c r="T22" s="11" t="s">
        <v>27</v>
      </c>
      <c r="U22" s="12">
        <v>2.43</v>
      </c>
      <c r="V22" s="12">
        <v>1587.2</v>
      </c>
      <c r="W22" s="12">
        <v>27.0</v>
      </c>
      <c r="X22" s="8">
        <v>17525.0</v>
      </c>
      <c r="Y22" s="8">
        <v>615.0</v>
      </c>
      <c r="Z22" s="8">
        <v>571.0</v>
      </c>
      <c r="AA22" s="8">
        <v>5.536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ht="15.75" customHeight="1">
      <c r="A23" s="6">
        <v>22.0</v>
      </c>
      <c r="B23" s="7">
        <v>49331.0</v>
      </c>
      <c r="C23" s="8">
        <v>17.6</v>
      </c>
      <c r="D23" s="8">
        <v>71.0</v>
      </c>
      <c r="E23" s="8">
        <v>80.2</v>
      </c>
      <c r="F23" s="8">
        <v>17.6</v>
      </c>
      <c r="G23" s="8">
        <v>71.0</v>
      </c>
      <c r="H23" s="8">
        <v>80.2</v>
      </c>
      <c r="I23" s="8">
        <v>10.0</v>
      </c>
      <c r="J23" s="8">
        <v>32.4</v>
      </c>
      <c r="K23" s="8">
        <v>84.0</v>
      </c>
      <c r="L23" s="9">
        <f t="shared" si="1"/>
        <v>45.2</v>
      </c>
      <c r="M23" s="9">
        <f t="shared" si="2"/>
        <v>22.765184</v>
      </c>
      <c r="N23" s="9">
        <f t="shared" si="3"/>
        <v>30</v>
      </c>
      <c r="O23" s="9">
        <f t="shared" si="4"/>
        <v>123.4</v>
      </c>
      <c r="P23" s="9">
        <f t="shared" si="6"/>
        <v>88.4</v>
      </c>
      <c r="Q23" s="9">
        <f t="shared" ref="Q23:R23" si="21">average(L17:L23)</f>
        <v>77.71428571</v>
      </c>
      <c r="R23" s="9">
        <f t="shared" si="21"/>
        <v>45.82383011</v>
      </c>
      <c r="S23" s="11" t="s">
        <v>27</v>
      </c>
      <c r="T23" s="11" t="s">
        <v>27</v>
      </c>
      <c r="U23" s="12">
        <v>3.27</v>
      </c>
      <c r="V23" s="12">
        <v>3463.4</v>
      </c>
      <c r="W23" s="12">
        <v>19.0</v>
      </c>
      <c r="X23" s="8">
        <v>19044.0</v>
      </c>
      <c r="Y23" s="8">
        <v>876.0</v>
      </c>
      <c r="Z23" s="8">
        <v>569.0</v>
      </c>
      <c r="AA23" s="8">
        <v>6.083</v>
      </c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ht="15.75" customHeight="1">
      <c r="A24" s="6">
        <v>23.0</v>
      </c>
      <c r="B24" s="7">
        <v>49332.0</v>
      </c>
      <c r="C24" s="8">
        <v>30.0</v>
      </c>
      <c r="D24" s="8">
        <v>83.1</v>
      </c>
      <c r="E24" s="8">
        <v>81.8</v>
      </c>
      <c r="F24" s="8">
        <v>30.0</v>
      </c>
      <c r="G24" s="8">
        <v>83.1</v>
      </c>
      <c r="H24" s="8">
        <v>81.8</v>
      </c>
      <c r="I24" s="8">
        <v>0.0</v>
      </c>
      <c r="J24" s="8">
        <v>28.8</v>
      </c>
      <c r="K24" s="8">
        <v>84.2</v>
      </c>
      <c r="L24" s="9">
        <f t="shared" si="1"/>
        <v>60</v>
      </c>
      <c r="M24" s="9">
        <f t="shared" si="2"/>
        <v>40.78548</v>
      </c>
      <c r="N24" s="9">
        <f t="shared" si="3"/>
        <v>45.2</v>
      </c>
      <c r="O24" s="9">
        <f t="shared" si="4"/>
        <v>30</v>
      </c>
      <c r="P24" s="9">
        <f t="shared" si="6"/>
        <v>78</v>
      </c>
      <c r="Q24" s="9">
        <f t="shared" ref="Q24:R24" si="22">average(L18:L24)</f>
        <v>73.65714286</v>
      </c>
      <c r="R24" s="9">
        <f t="shared" si="22"/>
        <v>44.6398988</v>
      </c>
      <c r="S24" s="11" t="s">
        <v>27</v>
      </c>
      <c r="T24" s="11" t="s">
        <v>27</v>
      </c>
      <c r="U24" s="12">
        <v>3.02</v>
      </c>
      <c r="V24" s="12">
        <v>6045.0</v>
      </c>
      <c r="W24" s="12">
        <v>22.0</v>
      </c>
      <c r="X24" s="8">
        <v>23113.0</v>
      </c>
      <c r="Y24" s="8">
        <v>780.0</v>
      </c>
      <c r="Z24" s="8">
        <v>614.0</v>
      </c>
      <c r="AA24" s="8">
        <v>7.269</v>
      </c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ht="15.75" customHeight="1">
      <c r="A25" s="6">
        <v>24.0</v>
      </c>
      <c r="B25" s="7">
        <v>49333.0</v>
      </c>
      <c r="C25" s="8">
        <v>30.0</v>
      </c>
      <c r="D25" s="8">
        <v>69.2</v>
      </c>
      <c r="E25" s="8">
        <v>81.2</v>
      </c>
      <c r="F25" s="8">
        <v>30.0</v>
      </c>
      <c r="G25" s="8">
        <v>69.2</v>
      </c>
      <c r="H25" s="8">
        <v>81.2</v>
      </c>
      <c r="I25" s="8">
        <v>0.0</v>
      </c>
      <c r="J25" s="8">
        <v>31.5</v>
      </c>
      <c r="K25" s="8">
        <v>82.8</v>
      </c>
      <c r="L25" s="9">
        <f t="shared" si="1"/>
        <v>60</v>
      </c>
      <c r="M25" s="9">
        <f t="shared" si="2"/>
        <v>33.71424</v>
      </c>
      <c r="N25" s="9">
        <f t="shared" si="3"/>
        <v>60</v>
      </c>
      <c r="O25" s="9">
        <f t="shared" si="4"/>
        <v>45.2</v>
      </c>
      <c r="P25" s="9">
        <f t="shared" si="6"/>
        <v>75</v>
      </c>
      <c r="Q25" s="9">
        <f t="shared" ref="Q25:R25" si="23">average(L19:L25)</f>
        <v>71.08571429</v>
      </c>
      <c r="R25" s="9">
        <f t="shared" si="23"/>
        <v>43.09206166</v>
      </c>
      <c r="S25" s="11" t="s">
        <v>27</v>
      </c>
      <c r="T25" s="11" t="s">
        <v>27</v>
      </c>
      <c r="U25" s="12">
        <v>2.94</v>
      </c>
      <c r="V25" s="12">
        <v>5422.6</v>
      </c>
      <c r="W25" s="12">
        <v>22.0</v>
      </c>
      <c r="X25" s="8">
        <v>25979.0</v>
      </c>
      <c r="Y25" s="8">
        <v>751.0</v>
      </c>
      <c r="Z25" s="8">
        <v>614.0</v>
      </c>
      <c r="AA25" s="8">
        <v>8.005</v>
      </c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ht="15.75" customHeight="1">
      <c r="A26" s="6">
        <v>25.0</v>
      </c>
      <c r="B26" s="7">
        <v>49334.0</v>
      </c>
      <c r="C26" s="8">
        <v>30.2</v>
      </c>
      <c r="D26" s="8">
        <v>85.9</v>
      </c>
      <c r="E26" s="8">
        <v>83.0</v>
      </c>
      <c r="F26" s="8">
        <v>30.2</v>
      </c>
      <c r="G26" s="8">
        <v>85.9</v>
      </c>
      <c r="H26" s="8">
        <v>83.0</v>
      </c>
      <c r="I26" s="8">
        <v>0.0</v>
      </c>
      <c r="J26" s="8">
        <v>35.5</v>
      </c>
      <c r="K26" s="8">
        <v>79.3</v>
      </c>
      <c r="L26" s="9">
        <f t="shared" si="1"/>
        <v>60.4</v>
      </c>
      <c r="M26" s="9">
        <f t="shared" si="2"/>
        <v>43.063388</v>
      </c>
      <c r="N26" s="9">
        <f t="shared" si="3"/>
        <v>60</v>
      </c>
      <c r="O26" s="9">
        <f t="shared" si="4"/>
        <v>60</v>
      </c>
      <c r="P26" s="9">
        <f t="shared" si="6"/>
        <v>104</v>
      </c>
      <c r="Q26" s="9">
        <f t="shared" ref="Q26:R26" si="24">average(L20:L26)</f>
        <v>69</v>
      </c>
      <c r="R26" s="9">
        <f t="shared" si="24"/>
        <v>43.07747423</v>
      </c>
      <c r="S26" s="11" t="s">
        <v>27</v>
      </c>
      <c r="T26" s="11" t="s">
        <v>27</v>
      </c>
      <c r="U26" s="12">
        <v>2.52</v>
      </c>
      <c r="V26" s="12">
        <v>6224.3</v>
      </c>
      <c r="W26" s="12">
        <v>26.0</v>
      </c>
      <c r="X26" s="8">
        <v>19182.0</v>
      </c>
      <c r="Y26" s="8">
        <v>660.0</v>
      </c>
      <c r="Z26" s="8">
        <v>570.0</v>
      </c>
      <c r="AA26" s="8">
        <v>6.075</v>
      </c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ht="15.75" customHeight="1">
      <c r="A27" s="6">
        <v>26.0</v>
      </c>
      <c r="B27" s="7">
        <v>49335.0</v>
      </c>
      <c r="C27" s="8">
        <v>30.0</v>
      </c>
      <c r="D27" s="8">
        <v>92.3</v>
      </c>
      <c r="E27" s="8">
        <v>81.4</v>
      </c>
      <c r="F27" s="8">
        <v>30.0</v>
      </c>
      <c r="G27" s="8">
        <v>92.3</v>
      </c>
      <c r="H27" s="8">
        <v>81.4</v>
      </c>
      <c r="I27" s="8">
        <v>0.0</v>
      </c>
      <c r="J27" s="8">
        <v>33.4</v>
      </c>
      <c r="K27" s="8">
        <v>82.1</v>
      </c>
      <c r="L27" s="9">
        <f t="shared" si="1"/>
        <v>60</v>
      </c>
      <c r="M27" s="9">
        <f t="shared" si="2"/>
        <v>45.07932</v>
      </c>
      <c r="N27" s="9">
        <f t="shared" si="3"/>
        <v>60.4</v>
      </c>
      <c r="O27" s="9">
        <f t="shared" si="4"/>
        <v>60</v>
      </c>
      <c r="P27" s="9">
        <f t="shared" si="6"/>
        <v>123.4</v>
      </c>
      <c r="Q27" s="9">
        <f t="shared" ref="Q27:R27" si="25">average(L21:L27)</f>
        <v>62.71428571</v>
      </c>
      <c r="R27" s="9">
        <f t="shared" si="25"/>
        <v>39.31973537</v>
      </c>
      <c r="S27" s="11" t="s">
        <v>27</v>
      </c>
      <c r="T27" s="11" t="s">
        <v>27</v>
      </c>
      <c r="U27" s="12">
        <v>2.67</v>
      </c>
      <c r="V27" s="12">
        <v>6786.3</v>
      </c>
      <c r="W27" s="12">
        <v>24.0</v>
      </c>
      <c r="X27" s="8">
        <v>19269.0</v>
      </c>
      <c r="Y27" s="8">
        <v>695.0</v>
      </c>
      <c r="Z27" s="8">
        <v>526.0</v>
      </c>
      <c r="AA27" s="8">
        <v>6.383</v>
      </c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ht="15.75" customHeight="1">
      <c r="A28" s="6">
        <v>27.0</v>
      </c>
      <c r="B28" s="7">
        <v>49336.0</v>
      </c>
      <c r="C28" s="8">
        <v>0.0</v>
      </c>
      <c r="D28" s="8">
        <v>80.3</v>
      </c>
      <c r="E28" s="8">
        <v>81.5</v>
      </c>
      <c r="F28" s="8">
        <v>0.0</v>
      </c>
      <c r="G28" s="8">
        <v>80.3</v>
      </c>
      <c r="H28" s="8">
        <v>81.5</v>
      </c>
      <c r="I28" s="8">
        <v>20.0</v>
      </c>
      <c r="J28" s="8">
        <v>38.9</v>
      </c>
      <c r="K28" s="8">
        <v>80.2</v>
      </c>
      <c r="L28" s="9">
        <f t="shared" si="1"/>
        <v>20</v>
      </c>
      <c r="M28" s="9">
        <f t="shared" si="2"/>
        <v>6.23956</v>
      </c>
      <c r="N28" s="9">
        <f t="shared" si="3"/>
        <v>60</v>
      </c>
      <c r="O28" s="9">
        <f t="shared" si="4"/>
        <v>60.4</v>
      </c>
      <c r="P28" s="9">
        <f t="shared" si="6"/>
        <v>30</v>
      </c>
      <c r="Q28" s="9">
        <f t="shared" ref="Q28:R28" si="26">average(L22:L28)</f>
        <v>47.94285714</v>
      </c>
      <c r="R28" s="9">
        <f t="shared" si="26"/>
        <v>30.24357457</v>
      </c>
      <c r="S28" s="11" t="s">
        <v>27</v>
      </c>
      <c r="T28" s="11" t="s">
        <v>27</v>
      </c>
      <c r="U28" s="12">
        <v>2.41</v>
      </c>
      <c r="V28" s="12">
        <v>7042.7</v>
      </c>
      <c r="W28" s="12">
        <v>25.0</v>
      </c>
      <c r="X28" s="8">
        <v>20359.0</v>
      </c>
      <c r="Y28" s="8">
        <v>687.0</v>
      </c>
      <c r="Z28" s="8">
        <v>522.0</v>
      </c>
      <c r="AA28" s="8">
        <v>7.18</v>
      </c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ht="15.75" customHeight="1">
      <c r="A29" s="6">
        <v>28.0</v>
      </c>
      <c r="B29" s="7">
        <v>49337.0</v>
      </c>
      <c r="C29" s="8">
        <v>16.7</v>
      </c>
      <c r="D29" s="8">
        <v>94.0</v>
      </c>
      <c r="E29" s="8">
        <v>86.5</v>
      </c>
      <c r="F29" s="8">
        <v>16.7</v>
      </c>
      <c r="G29" s="8">
        <v>94.0</v>
      </c>
      <c r="H29" s="8">
        <v>86.5</v>
      </c>
      <c r="I29" s="8">
        <v>20.0</v>
      </c>
      <c r="J29" s="8">
        <v>35.9</v>
      </c>
      <c r="K29" s="8">
        <v>83.2</v>
      </c>
      <c r="L29" s="9">
        <f t="shared" si="1"/>
        <v>53.4</v>
      </c>
      <c r="M29" s="9">
        <f t="shared" si="2"/>
        <v>33.1313</v>
      </c>
      <c r="N29" s="9">
        <f t="shared" si="3"/>
        <v>20</v>
      </c>
      <c r="O29" s="9">
        <f t="shared" si="4"/>
        <v>60</v>
      </c>
      <c r="P29" s="9">
        <f t="shared" si="6"/>
        <v>45.2</v>
      </c>
      <c r="Q29" s="9">
        <f t="shared" ref="Q29:R29" si="27">average(L23:L29)</f>
        <v>51.28571429</v>
      </c>
      <c r="R29" s="9">
        <f t="shared" si="27"/>
        <v>32.11121029</v>
      </c>
      <c r="S29" s="11" t="s">
        <v>27</v>
      </c>
      <c r="T29" s="11" t="s">
        <v>27</v>
      </c>
      <c r="U29" s="12">
        <v>3.09</v>
      </c>
      <c r="V29" s="12">
        <v>5772.5</v>
      </c>
      <c r="W29" s="12">
        <v>20.0</v>
      </c>
      <c r="X29" s="8">
        <v>27173.0</v>
      </c>
      <c r="Y29" s="8">
        <v>852.0</v>
      </c>
      <c r="Z29" s="8">
        <v>676.0</v>
      </c>
      <c r="AA29" s="8">
        <v>7.945</v>
      </c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ht="15.75" customHeight="1">
      <c r="A30" s="6">
        <v>29.0</v>
      </c>
      <c r="B30" s="7">
        <v>49338.0</v>
      </c>
      <c r="C30" s="8">
        <v>30.0</v>
      </c>
      <c r="D30" s="8">
        <v>90.8</v>
      </c>
      <c r="E30" s="8">
        <v>83.4</v>
      </c>
      <c r="F30" s="8">
        <v>30.0</v>
      </c>
      <c r="G30" s="8">
        <v>90.8</v>
      </c>
      <c r="H30" s="8">
        <v>83.4</v>
      </c>
      <c r="I30" s="8">
        <v>20.0</v>
      </c>
      <c r="J30" s="8">
        <v>37.3</v>
      </c>
      <c r="K30" s="8">
        <v>83.4</v>
      </c>
      <c r="L30" s="9">
        <f t="shared" si="1"/>
        <v>80</v>
      </c>
      <c r="M30" s="9">
        <f t="shared" si="2"/>
        <v>51.65796</v>
      </c>
      <c r="N30" s="9">
        <f t="shared" si="3"/>
        <v>53.4</v>
      </c>
      <c r="O30" s="9">
        <f t="shared" si="4"/>
        <v>20</v>
      </c>
      <c r="P30" s="9">
        <f t="shared" si="6"/>
        <v>60</v>
      </c>
      <c r="Q30" s="9">
        <f t="shared" ref="Q30:R30" si="28">average(L24:L30)</f>
        <v>56.25714286</v>
      </c>
      <c r="R30" s="9">
        <f t="shared" si="28"/>
        <v>36.23874971</v>
      </c>
      <c r="S30" s="11" t="s">
        <v>27</v>
      </c>
      <c r="T30" s="11" t="s">
        <v>27</v>
      </c>
      <c r="U30" s="12">
        <v>2.88</v>
      </c>
      <c r="V30" s="12">
        <v>5320.0</v>
      </c>
      <c r="W30" s="12">
        <v>21.0</v>
      </c>
      <c r="X30" s="8">
        <v>28904.0</v>
      </c>
      <c r="Y30" s="8">
        <v>811.0</v>
      </c>
      <c r="Z30" s="8">
        <v>832.0</v>
      </c>
      <c r="AA30" s="8">
        <v>8.69</v>
      </c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ht="15.75" customHeight="1">
      <c r="A31" s="6">
        <v>30.0</v>
      </c>
      <c r="B31" s="7">
        <v>49339.0</v>
      </c>
      <c r="C31" s="8">
        <v>0.0</v>
      </c>
      <c r="D31" s="8">
        <v>88.6</v>
      </c>
      <c r="E31" s="8">
        <v>83.1</v>
      </c>
      <c r="F31" s="8">
        <v>0.0</v>
      </c>
      <c r="G31" s="8">
        <v>88.6</v>
      </c>
      <c r="H31" s="8">
        <v>83.1</v>
      </c>
      <c r="I31" s="8">
        <v>30.0</v>
      </c>
      <c r="J31" s="8">
        <v>33.9</v>
      </c>
      <c r="K31" s="8">
        <v>83.2</v>
      </c>
      <c r="L31" s="9">
        <f t="shared" si="1"/>
        <v>30</v>
      </c>
      <c r="M31" s="9">
        <f t="shared" si="2"/>
        <v>8.46144</v>
      </c>
      <c r="N31" s="9">
        <f t="shared" si="3"/>
        <v>80</v>
      </c>
      <c r="O31" s="9">
        <f t="shared" si="4"/>
        <v>53.4</v>
      </c>
      <c r="P31" s="9">
        <f t="shared" si="6"/>
        <v>60</v>
      </c>
      <c r="Q31" s="9">
        <f t="shared" ref="Q31:R31" si="29">average(L25:L31)</f>
        <v>51.97142857</v>
      </c>
      <c r="R31" s="9">
        <f t="shared" si="29"/>
        <v>31.62102971</v>
      </c>
      <c r="S31" s="11" t="s">
        <v>27</v>
      </c>
      <c r="T31" s="11" t="s">
        <v>27</v>
      </c>
      <c r="U31" s="12">
        <v>2.85</v>
      </c>
      <c r="V31" s="12">
        <v>8612.3</v>
      </c>
      <c r="W31" s="12">
        <v>23.0</v>
      </c>
      <c r="X31" s="8">
        <v>24717.0</v>
      </c>
      <c r="Y31" s="8">
        <v>723.0</v>
      </c>
      <c r="Z31" s="8">
        <v>925.0</v>
      </c>
      <c r="AA31" s="8">
        <v>7.654</v>
      </c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ht="15.75" customHeight="1">
      <c r="A32" s="6">
        <v>31.0</v>
      </c>
      <c r="B32" s="7">
        <v>49340.0</v>
      </c>
      <c r="C32" s="8">
        <v>5.1</v>
      </c>
      <c r="D32" s="8">
        <v>89.2</v>
      </c>
      <c r="E32" s="8">
        <v>83.2</v>
      </c>
      <c r="F32" s="8">
        <v>5.1</v>
      </c>
      <c r="G32" s="8">
        <v>89.2</v>
      </c>
      <c r="H32" s="8">
        <v>83.2</v>
      </c>
      <c r="I32" s="8">
        <v>30.0</v>
      </c>
      <c r="J32" s="8">
        <v>30.8</v>
      </c>
      <c r="K32" s="8">
        <v>82.4</v>
      </c>
      <c r="L32" s="9">
        <f t="shared" si="1"/>
        <v>40.2</v>
      </c>
      <c r="M32" s="9">
        <f t="shared" si="2"/>
        <v>15.1836288</v>
      </c>
      <c r="N32" s="9">
        <f t="shared" si="3"/>
        <v>30</v>
      </c>
      <c r="O32" s="9">
        <f t="shared" si="4"/>
        <v>80</v>
      </c>
      <c r="P32" s="9">
        <f t="shared" si="6"/>
        <v>60.4</v>
      </c>
      <c r="Q32" s="9">
        <f t="shared" ref="Q32:R32" si="30">average(L26:L32)</f>
        <v>49.14285714</v>
      </c>
      <c r="R32" s="9">
        <f t="shared" si="30"/>
        <v>28.97379954</v>
      </c>
      <c r="S32" s="11" t="s">
        <v>27</v>
      </c>
      <c r="T32" s="11" t="s">
        <v>27</v>
      </c>
      <c r="U32" s="12">
        <v>2.81</v>
      </c>
      <c r="V32" s="12">
        <v>7588.7</v>
      </c>
      <c r="W32" s="12">
        <v>20.0</v>
      </c>
      <c r="X32" s="8">
        <v>27554.0</v>
      </c>
      <c r="Y32" s="8">
        <v>826.0</v>
      </c>
      <c r="Z32" s="8">
        <v>918.0</v>
      </c>
      <c r="AA32" s="8">
        <v>8.441</v>
      </c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ht="15.75" customHeight="1">
      <c r="A33" s="6">
        <v>32.0</v>
      </c>
      <c r="B33" s="7">
        <v>49341.0</v>
      </c>
      <c r="C33" s="8">
        <v>15.0</v>
      </c>
      <c r="D33" s="8">
        <v>96.2</v>
      </c>
      <c r="E33" s="8">
        <v>81.5</v>
      </c>
      <c r="F33" s="8">
        <v>15.0</v>
      </c>
      <c r="G33" s="8">
        <v>96.2</v>
      </c>
      <c r="H33" s="8">
        <v>81.5</v>
      </c>
      <c r="I33" s="8">
        <v>30.0</v>
      </c>
      <c r="J33" s="8">
        <v>30.8</v>
      </c>
      <c r="K33" s="8">
        <v>82.4</v>
      </c>
      <c r="L33" s="9">
        <f t="shared" si="1"/>
        <v>60</v>
      </c>
      <c r="M33" s="9">
        <f t="shared" si="2"/>
        <v>31.13466</v>
      </c>
      <c r="N33" s="9">
        <f t="shared" si="3"/>
        <v>40.2</v>
      </c>
      <c r="O33" s="9">
        <f t="shared" si="4"/>
        <v>30</v>
      </c>
      <c r="P33" s="9">
        <f t="shared" si="6"/>
        <v>60</v>
      </c>
      <c r="Q33" s="9">
        <f t="shared" ref="Q33:R33" si="31">average(L27:L33)</f>
        <v>49.08571429</v>
      </c>
      <c r="R33" s="9">
        <f t="shared" si="31"/>
        <v>27.26969554</v>
      </c>
      <c r="S33" s="11" t="s">
        <v>27</v>
      </c>
      <c r="T33" s="11" t="s">
        <v>27</v>
      </c>
      <c r="U33" s="12">
        <v>2.86</v>
      </c>
      <c r="V33" s="12">
        <v>6897.0</v>
      </c>
      <c r="W33" s="12">
        <v>20.0</v>
      </c>
      <c r="X33" s="8">
        <v>24613.0</v>
      </c>
      <c r="Y33" s="8">
        <v>850.0</v>
      </c>
      <c r="Z33" s="8">
        <v>968.0</v>
      </c>
      <c r="AA33" s="8">
        <v>7.601</v>
      </c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ht="15.75" customHeight="1">
      <c r="A34" s="6">
        <v>33.0</v>
      </c>
      <c r="B34" s="7">
        <v>49342.0</v>
      </c>
      <c r="C34" s="8">
        <v>0.0</v>
      </c>
      <c r="D34" s="8">
        <v>93.9</v>
      </c>
      <c r="E34" s="8">
        <v>86.1</v>
      </c>
      <c r="F34" s="8">
        <v>0.0</v>
      </c>
      <c r="G34" s="8">
        <v>93.9</v>
      </c>
      <c r="H34" s="8">
        <v>86.1</v>
      </c>
      <c r="I34" s="8">
        <v>30.0</v>
      </c>
      <c r="J34" s="8">
        <v>34.8</v>
      </c>
      <c r="K34" s="8">
        <v>80.7</v>
      </c>
      <c r="L34" s="9">
        <f t="shared" si="1"/>
        <v>30</v>
      </c>
      <c r="M34" s="9">
        <f t="shared" si="2"/>
        <v>8.42508</v>
      </c>
      <c r="N34" s="9">
        <f t="shared" si="3"/>
        <v>60</v>
      </c>
      <c r="O34" s="9">
        <f t="shared" si="4"/>
        <v>40.2</v>
      </c>
      <c r="P34" s="9">
        <f t="shared" si="6"/>
        <v>20</v>
      </c>
      <c r="Q34" s="9">
        <f t="shared" ref="Q34:R34" si="32">average(L28:L34)</f>
        <v>44.8</v>
      </c>
      <c r="R34" s="9">
        <f t="shared" si="32"/>
        <v>22.03337554</v>
      </c>
      <c r="S34" s="11" t="s">
        <v>27</v>
      </c>
      <c r="T34" s="11" t="s">
        <v>27</v>
      </c>
      <c r="U34" s="12">
        <v>2.8</v>
      </c>
      <c r="V34" s="12">
        <v>7173.7</v>
      </c>
      <c r="W34" s="12">
        <v>20.0</v>
      </c>
      <c r="X34" s="8">
        <v>25069.0</v>
      </c>
      <c r="Y34" s="8">
        <v>860.0</v>
      </c>
      <c r="Z34" s="8">
        <v>753.0</v>
      </c>
      <c r="AA34" s="8">
        <v>7.864</v>
      </c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ht="15.75" customHeight="1">
      <c r="A35" s="6">
        <v>34.0</v>
      </c>
      <c r="B35" s="7">
        <v>49343.0</v>
      </c>
      <c r="C35" s="8">
        <v>31.1</v>
      </c>
      <c r="D35" s="8">
        <v>94.7</v>
      </c>
      <c r="E35" s="8">
        <v>84.6</v>
      </c>
      <c r="F35" s="8">
        <v>31.1</v>
      </c>
      <c r="G35" s="8">
        <v>94.7</v>
      </c>
      <c r="H35" s="8">
        <v>84.6</v>
      </c>
      <c r="I35" s="8">
        <v>33.0</v>
      </c>
      <c r="J35" s="8">
        <v>30.5</v>
      </c>
      <c r="K35" s="8">
        <v>82.9</v>
      </c>
      <c r="L35" s="9">
        <f t="shared" si="1"/>
        <v>95.2</v>
      </c>
      <c r="M35" s="9">
        <f t="shared" si="2"/>
        <v>58.1761614</v>
      </c>
      <c r="N35" s="9">
        <f t="shared" si="3"/>
        <v>30</v>
      </c>
      <c r="O35" s="9">
        <f t="shared" si="4"/>
        <v>60</v>
      </c>
      <c r="P35" s="9">
        <f t="shared" si="6"/>
        <v>53.4</v>
      </c>
      <c r="Q35" s="9">
        <f t="shared" ref="Q35:R35" si="33">average(L29:L35)</f>
        <v>55.54285714</v>
      </c>
      <c r="R35" s="9">
        <f t="shared" si="33"/>
        <v>29.45289003</v>
      </c>
      <c r="S35" s="11" t="s">
        <v>27</v>
      </c>
      <c r="T35" s="11" t="s">
        <v>27</v>
      </c>
      <c r="U35" s="12">
        <v>2.75</v>
      </c>
      <c r="V35" s="12">
        <v>5513.7</v>
      </c>
      <c r="W35" s="12">
        <v>20.0</v>
      </c>
      <c r="X35" s="8">
        <v>19410.0</v>
      </c>
      <c r="Y35" s="8">
        <v>837.0</v>
      </c>
      <c r="Z35" s="8">
        <v>773.0</v>
      </c>
      <c r="AA35" s="8">
        <v>6.252</v>
      </c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ht="15.75" customHeight="1">
      <c r="A36" s="6">
        <v>35.0</v>
      </c>
      <c r="B36" s="7">
        <v>49344.0</v>
      </c>
      <c r="C36" s="8">
        <v>0.0</v>
      </c>
      <c r="D36" s="8">
        <v>96.1</v>
      </c>
      <c r="E36" s="8">
        <v>86.3</v>
      </c>
      <c r="F36" s="8">
        <v>0.0</v>
      </c>
      <c r="G36" s="8">
        <v>96.1</v>
      </c>
      <c r="H36" s="8">
        <v>86.3</v>
      </c>
      <c r="I36" s="8">
        <v>28.0</v>
      </c>
      <c r="J36" s="8">
        <v>23.9</v>
      </c>
      <c r="K36" s="8">
        <v>73.1</v>
      </c>
      <c r="L36" s="9">
        <f t="shared" si="1"/>
        <v>28</v>
      </c>
      <c r="M36" s="9">
        <f t="shared" si="2"/>
        <v>4.891852</v>
      </c>
      <c r="N36" s="9">
        <f t="shared" si="3"/>
        <v>95.2</v>
      </c>
      <c r="O36" s="9">
        <f t="shared" si="4"/>
        <v>30</v>
      </c>
      <c r="P36" s="9">
        <f t="shared" si="6"/>
        <v>80</v>
      </c>
      <c r="Q36" s="9">
        <f t="shared" ref="Q36:R36" si="34">average(L30:L36)</f>
        <v>51.91428571</v>
      </c>
      <c r="R36" s="9">
        <f t="shared" si="34"/>
        <v>25.41868317</v>
      </c>
      <c r="S36" s="11" t="s">
        <v>27</v>
      </c>
      <c r="T36" s="11" t="s">
        <v>27</v>
      </c>
      <c r="U36" s="12">
        <v>3.25</v>
      </c>
      <c r="V36" s="12">
        <v>6150.0</v>
      </c>
      <c r="W36" s="12">
        <v>20.0</v>
      </c>
      <c r="X36" s="8">
        <v>19903.0</v>
      </c>
      <c r="Y36" s="8">
        <v>863.0</v>
      </c>
      <c r="Z36" s="8">
        <v>702.0</v>
      </c>
      <c r="AA36" s="8">
        <v>6.393</v>
      </c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ht="15.75" customHeight="1">
      <c r="A37" s="6">
        <v>36.0</v>
      </c>
      <c r="B37" s="7">
        <v>49345.0</v>
      </c>
      <c r="C37" s="8">
        <v>15.0</v>
      </c>
      <c r="D37" s="8">
        <v>92.4</v>
      </c>
      <c r="E37" s="8">
        <v>86.5</v>
      </c>
      <c r="F37" s="8">
        <v>15.0</v>
      </c>
      <c r="G37" s="8">
        <v>92.4</v>
      </c>
      <c r="H37" s="8">
        <v>86.5</v>
      </c>
      <c r="I37" s="8">
        <v>30.0</v>
      </c>
      <c r="J37" s="8">
        <v>29.1</v>
      </c>
      <c r="K37" s="8">
        <v>81.6</v>
      </c>
      <c r="L37" s="9">
        <f t="shared" si="1"/>
        <v>60</v>
      </c>
      <c r="M37" s="9">
        <f t="shared" si="2"/>
        <v>31.10148</v>
      </c>
      <c r="N37" s="9">
        <f t="shared" si="3"/>
        <v>28</v>
      </c>
      <c r="O37" s="9">
        <f t="shared" si="4"/>
        <v>95.2</v>
      </c>
      <c r="P37" s="9">
        <f t="shared" si="6"/>
        <v>30</v>
      </c>
      <c r="Q37" s="9">
        <f t="shared" ref="Q37:R37" si="35">average(L31:L37)</f>
        <v>49.05714286</v>
      </c>
      <c r="R37" s="9">
        <f t="shared" si="35"/>
        <v>22.48204317</v>
      </c>
      <c r="S37" s="11" t="s">
        <v>27</v>
      </c>
      <c r="T37" s="11" t="s">
        <v>27</v>
      </c>
      <c r="U37" s="12">
        <v>2.51</v>
      </c>
      <c r="V37" s="12">
        <v>6122.3</v>
      </c>
      <c r="W37" s="12">
        <v>22.0</v>
      </c>
      <c r="X37" s="8">
        <v>21120.0</v>
      </c>
      <c r="Y37" s="8">
        <v>784.0</v>
      </c>
      <c r="Z37" s="8">
        <v>733.0</v>
      </c>
      <c r="AA37" s="8">
        <v>6.829</v>
      </c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 ht="15.75" customHeight="1">
      <c r="A38" s="6">
        <v>37.0</v>
      </c>
      <c r="B38" s="7">
        <v>49346.0</v>
      </c>
      <c r="C38" s="8">
        <v>0.0</v>
      </c>
      <c r="D38" s="8">
        <v>94.4</v>
      </c>
      <c r="E38" s="8">
        <v>85.4</v>
      </c>
      <c r="F38" s="8">
        <v>0.0</v>
      </c>
      <c r="G38" s="8">
        <v>94.4</v>
      </c>
      <c r="H38" s="8">
        <v>85.4</v>
      </c>
      <c r="I38" s="8">
        <v>20.0</v>
      </c>
      <c r="J38" s="8">
        <v>38.1</v>
      </c>
      <c r="K38" s="8">
        <v>61.9</v>
      </c>
      <c r="L38" s="9">
        <f t="shared" si="1"/>
        <v>20</v>
      </c>
      <c r="M38" s="9">
        <f t="shared" si="2"/>
        <v>4.71678</v>
      </c>
      <c r="N38" s="9">
        <f t="shared" si="3"/>
        <v>60</v>
      </c>
      <c r="O38" s="9">
        <f t="shared" si="4"/>
        <v>28</v>
      </c>
      <c r="P38" s="9">
        <f t="shared" si="6"/>
        <v>40.2</v>
      </c>
      <c r="Q38" s="9">
        <f t="shared" ref="Q38:R38" si="36">average(L32:L38)</f>
        <v>47.62857143</v>
      </c>
      <c r="R38" s="9">
        <f t="shared" si="36"/>
        <v>21.94709174</v>
      </c>
      <c r="S38" s="11" t="s">
        <v>27</v>
      </c>
      <c r="T38" s="11" t="s">
        <v>27</v>
      </c>
      <c r="U38" s="12">
        <v>3.05</v>
      </c>
      <c r="V38" s="12">
        <v>7811.9</v>
      </c>
      <c r="W38" s="12">
        <v>25.0</v>
      </c>
      <c r="X38" s="8">
        <v>19170.0</v>
      </c>
      <c r="Y38" s="8">
        <v>679.0</v>
      </c>
      <c r="Z38" s="8">
        <v>728.0</v>
      </c>
      <c r="AA38" s="8">
        <v>6.583</v>
      </c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ht="15.75" customHeight="1">
      <c r="A39" s="6">
        <v>38.0</v>
      </c>
      <c r="B39" s="7">
        <v>49347.0</v>
      </c>
      <c r="C39" s="8">
        <v>0.0</v>
      </c>
      <c r="D39" s="8">
        <v>91.5</v>
      </c>
      <c r="E39" s="8">
        <v>79.3</v>
      </c>
      <c r="F39" s="8">
        <v>0.0</v>
      </c>
      <c r="G39" s="8">
        <v>91.5</v>
      </c>
      <c r="H39" s="8">
        <v>79.3</v>
      </c>
      <c r="I39" s="8">
        <v>14.0</v>
      </c>
      <c r="J39" s="8">
        <v>31.3</v>
      </c>
      <c r="K39" s="8">
        <v>76.1</v>
      </c>
      <c r="L39" s="9">
        <f t="shared" si="1"/>
        <v>14</v>
      </c>
      <c r="M39" s="9">
        <f t="shared" si="2"/>
        <v>3.334702</v>
      </c>
      <c r="N39" s="9">
        <f t="shared" si="3"/>
        <v>20</v>
      </c>
      <c r="O39" s="9">
        <f t="shared" si="4"/>
        <v>60</v>
      </c>
      <c r="P39" s="9">
        <f t="shared" si="6"/>
        <v>60</v>
      </c>
      <c r="Q39" s="9">
        <f t="shared" ref="Q39:R39" si="37">average(L33:L39)</f>
        <v>43.88571429</v>
      </c>
      <c r="R39" s="9">
        <f t="shared" si="37"/>
        <v>20.25438791</v>
      </c>
      <c r="S39" s="11" t="s">
        <v>27</v>
      </c>
      <c r="T39" s="11" t="s">
        <v>27</v>
      </c>
      <c r="U39" s="12">
        <v>2.57</v>
      </c>
      <c r="V39" s="12">
        <v>6546.7</v>
      </c>
      <c r="W39" s="12">
        <v>29.0</v>
      </c>
      <c r="X39" s="8">
        <v>20752.0</v>
      </c>
      <c r="Y39" s="8">
        <v>578.0</v>
      </c>
      <c r="Z39" s="8">
        <v>550.0</v>
      </c>
      <c r="AA39" s="8">
        <v>6.927</v>
      </c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ht="15.75" customHeight="1">
      <c r="A40" s="6">
        <v>39.0</v>
      </c>
      <c r="B40" s="7">
        <v>49348.0</v>
      </c>
      <c r="C40" s="8">
        <v>30.2</v>
      </c>
      <c r="D40" s="8">
        <v>92.7</v>
      </c>
      <c r="E40" s="8">
        <v>85.4</v>
      </c>
      <c r="F40" s="8">
        <v>30.2</v>
      </c>
      <c r="G40" s="8">
        <v>92.7</v>
      </c>
      <c r="H40" s="8">
        <v>85.4</v>
      </c>
      <c r="I40" s="8">
        <v>30.0</v>
      </c>
      <c r="J40" s="8">
        <v>48.5</v>
      </c>
      <c r="K40" s="8">
        <v>94.0</v>
      </c>
      <c r="L40" s="9">
        <f t="shared" si="1"/>
        <v>90.4</v>
      </c>
      <c r="M40" s="9">
        <f t="shared" si="2"/>
        <v>61.4931432</v>
      </c>
      <c r="N40" s="9">
        <f t="shared" si="3"/>
        <v>14</v>
      </c>
      <c r="O40" s="9">
        <f t="shared" si="4"/>
        <v>20</v>
      </c>
      <c r="P40" s="9">
        <f t="shared" si="6"/>
        <v>30</v>
      </c>
      <c r="Q40" s="9">
        <f t="shared" ref="Q40:R40" si="38">average(L34:L40)</f>
        <v>48.22857143</v>
      </c>
      <c r="R40" s="9">
        <f t="shared" si="38"/>
        <v>24.59131409</v>
      </c>
      <c r="S40" s="11" t="s">
        <v>27</v>
      </c>
      <c r="T40" s="11" t="s">
        <v>27</v>
      </c>
      <c r="U40" s="12">
        <v>3.29</v>
      </c>
      <c r="V40" s="12">
        <v>5101.8</v>
      </c>
      <c r="W40" s="12">
        <v>17.0</v>
      </c>
      <c r="X40" s="8">
        <v>24972.0</v>
      </c>
      <c r="Y40" s="8">
        <v>989.0</v>
      </c>
      <c r="Z40" s="8">
        <v>714.0</v>
      </c>
      <c r="AA40" s="8">
        <v>7.676</v>
      </c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ht="15.75" customHeight="1">
      <c r="A41" s="6">
        <v>40.0</v>
      </c>
      <c r="B41" s="7">
        <v>49349.0</v>
      </c>
      <c r="C41" s="8">
        <v>15.0</v>
      </c>
      <c r="D41" s="8">
        <v>91.8</v>
      </c>
      <c r="E41" s="8">
        <v>84.8</v>
      </c>
      <c r="F41" s="8">
        <v>15.0</v>
      </c>
      <c r="G41" s="8">
        <v>91.8</v>
      </c>
      <c r="H41" s="8">
        <v>84.8</v>
      </c>
      <c r="I41" s="8">
        <v>20.0</v>
      </c>
      <c r="J41" s="8">
        <v>41.7</v>
      </c>
      <c r="K41" s="8">
        <v>82.1</v>
      </c>
      <c r="L41" s="9">
        <f t="shared" si="1"/>
        <v>50</v>
      </c>
      <c r="M41" s="9">
        <f t="shared" si="2"/>
        <v>30.20106</v>
      </c>
      <c r="N41" s="9">
        <f t="shared" si="3"/>
        <v>90.4</v>
      </c>
      <c r="O41" s="9">
        <f t="shared" si="4"/>
        <v>14</v>
      </c>
      <c r="P41" s="9">
        <f t="shared" si="6"/>
        <v>95.2</v>
      </c>
      <c r="Q41" s="9">
        <f t="shared" ref="Q41:R41" si="39">average(L35:L41)</f>
        <v>51.08571429</v>
      </c>
      <c r="R41" s="9">
        <f t="shared" si="39"/>
        <v>27.70216837</v>
      </c>
      <c r="S41" s="11" t="s">
        <v>27</v>
      </c>
      <c r="T41" s="11" t="s">
        <v>27</v>
      </c>
      <c r="U41" s="12">
        <v>3.52</v>
      </c>
      <c r="V41" s="12">
        <v>5198.4</v>
      </c>
      <c r="W41" s="12">
        <v>19.0</v>
      </c>
      <c r="X41" s="8">
        <v>23028.0</v>
      </c>
      <c r="Y41" s="8">
        <v>902.0</v>
      </c>
      <c r="Z41" s="8">
        <v>755.0</v>
      </c>
      <c r="AA41" s="8">
        <v>7.42</v>
      </c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ht="15.75" customHeight="1">
      <c r="A42" s="6">
        <v>41.0</v>
      </c>
      <c r="B42" s="7">
        <v>49350.0</v>
      </c>
      <c r="C42" s="8">
        <v>14.0</v>
      </c>
      <c r="D42" s="8">
        <v>52.9</v>
      </c>
      <c r="E42" s="8">
        <v>77.9</v>
      </c>
      <c r="F42" s="8">
        <v>14.0</v>
      </c>
      <c r="G42" s="8">
        <v>52.9</v>
      </c>
      <c r="H42" s="8">
        <v>77.9</v>
      </c>
      <c r="I42" s="8">
        <v>15.0</v>
      </c>
      <c r="J42" s="8">
        <v>38.2</v>
      </c>
      <c r="K42" s="8">
        <v>82.0</v>
      </c>
      <c r="L42" s="9">
        <f t="shared" si="1"/>
        <v>43</v>
      </c>
      <c r="M42" s="9">
        <f t="shared" si="2"/>
        <v>16.237148</v>
      </c>
      <c r="N42" s="9">
        <f t="shared" si="3"/>
        <v>50</v>
      </c>
      <c r="O42" s="9">
        <f t="shared" si="4"/>
        <v>90.4</v>
      </c>
      <c r="P42" s="9">
        <f t="shared" si="6"/>
        <v>28</v>
      </c>
      <c r="Q42" s="9">
        <f t="shared" ref="Q42:R42" si="40">average(L36:L42)</f>
        <v>43.62857143</v>
      </c>
      <c r="R42" s="9">
        <f t="shared" si="40"/>
        <v>21.71088074</v>
      </c>
      <c r="S42" s="11" t="s">
        <v>27</v>
      </c>
      <c r="T42" s="11" t="s">
        <v>27</v>
      </c>
      <c r="U42" s="12">
        <v>1.89</v>
      </c>
      <c r="V42" s="12">
        <v>5549.0</v>
      </c>
      <c r="W42" s="12">
        <v>38.0</v>
      </c>
      <c r="X42" s="8">
        <v>16511.0</v>
      </c>
      <c r="Y42" s="8">
        <v>447.0</v>
      </c>
      <c r="Z42" s="8">
        <v>375.0</v>
      </c>
      <c r="AA42" s="8">
        <v>5.926</v>
      </c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 ht="15.75" customHeight="1">
      <c r="A43" s="6">
        <v>42.0</v>
      </c>
      <c r="B43" s="7">
        <v>49351.0</v>
      </c>
      <c r="C43" s="8">
        <v>15.0</v>
      </c>
      <c r="D43" s="8">
        <v>84.6</v>
      </c>
      <c r="E43" s="8">
        <v>82.5</v>
      </c>
      <c r="F43" s="8">
        <v>15.0</v>
      </c>
      <c r="G43" s="8">
        <v>84.6</v>
      </c>
      <c r="H43" s="8">
        <v>82.5</v>
      </c>
      <c r="I43" s="8">
        <v>0.0</v>
      </c>
      <c r="J43" s="8">
        <v>38.6</v>
      </c>
      <c r="K43" s="8">
        <v>81.8</v>
      </c>
      <c r="L43" s="9">
        <f t="shared" si="1"/>
        <v>30</v>
      </c>
      <c r="M43" s="9">
        <f t="shared" si="2"/>
        <v>20.9385</v>
      </c>
      <c r="N43" s="9">
        <f t="shared" si="3"/>
        <v>43</v>
      </c>
      <c r="O43" s="9">
        <f t="shared" si="4"/>
        <v>50</v>
      </c>
      <c r="P43" s="9">
        <f t="shared" si="6"/>
        <v>60</v>
      </c>
      <c r="Q43" s="9">
        <f t="shared" ref="Q43:R43" si="41">average(L37:L43)</f>
        <v>43.91428571</v>
      </c>
      <c r="R43" s="9">
        <f t="shared" si="41"/>
        <v>24.00325903</v>
      </c>
      <c r="S43" s="11" t="s">
        <v>27</v>
      </c>
      <c r="T43" s="11" t="s">
        <v>27</v>
      </c>
      <c r="U43" s="12">
        <v>2.24</v>
      </c>
      <c r="V43" s="12">
        <v>3604.3</v>
      </c>
      <c r="W43" s="12">
        <v>28.0</v>
      </c>
      <c r="X43" s="8">
        <v>11752.0</v>
      </c>
      <c r="Y43" s="8">
        <v>795.0</v>
      </c>
      <c r="Z43" s="8">
        <v>330.0</v>
      </c>
      <c r="AA43" s="8">
        <v>4.92</v>
      </c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ht="15.75" customHeight="1">
      <c r="A44" s="6">
        <v>43.0</v>
      </c>
      <c r="B44" s="7">
        <v>49352.0</v>
      </c>
      <c r="C44" s="8">
        <v>15.7</v>
      </c>
      <c r="D44" s="8">
        <v>51.9</v>
      </c>
      <c r="E44" s="8">
        <v>79.8</v>
      </c>
      <c r="F44" s="8">
        <v>15.7</v>
      </c>
      <c r="G44" s="8">
        <v>51.9</v>
      </c>
      <c r="H44" s="8">
        <v>79.8</v>
      </c>
      <c r="I44" s="8">
        <v>26.0</v>
      </c>
      <c r="J44" s="8">
        <v>30.0</v>
      </c>
      <c r="K44" s="8">
        <v>82.9</v>
      </c>
      <c r="L44" s="9">
        <f t="shared" si="1"/>
        <v>57.4</v>
      </c>
      <c r="M44" s="9">
        <f t="shared" si="2"/>
        <v>19.4708868</v>
      </c>
      <c r="N44" s="9">
        <f t="shared" si="3"/>
        <v>30</v>
      </c>
      <c r="O44" s="9">
        <f t="shared" si="4"/>
        <v>43</v>
      </c>
      <c r="P44" s="9">
        <f t="shared" si="6"/>
        <v>20</v>
      </c>
      <c r="Q44" s="9">
        <f t="shared" ref="Q44:R44" si="42">average(L38:L44)</f>
        <v>43.54285714</v>
      </c>
      <c r="R44" s="9">
        <f t="shared" si="42"/>
        <v>22.34174571</v>
      </c>
      <c r="S44" s="11" t="s">
        <v>27</v>
      </c>
      <c r="T44" s="11" t="s">
        <v>27</v>
      </c>
      <c r="U44" s="12">
        <v>3.35</v>
      </c>
      <c r="V44" s="12">
        <v>3933.7</v>
      </c>
      <c r="W44" s="12">
        <v>24.0</v>
      </c>
      <c r="X44" s="8">
        <v>14083.0</v>
      </c>
      <c r="Y44" s="8">
        <v>701.0</v>
      </c>
      <c r="Z44" s="8">
        <v>624.0</v>
      </c>
      <c r="AA44" s="8">
        <v>5.896</v>
      </c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 ht="15.75" customHeight="1">
      <c r="A45" s="6">
        <v>44.0</v>
      </c>
      <c r="B45" s="7">
        <v>49353.0</v>
      </c>
      <c r="C45" s="8">
        <v>10.0</v>
      </c>
      <c r="D45" s="8">
        <v>89.3</v>
      </c>
      <c r="E45" s="8">
        <v>82.8</v>
      </c>
      <c r="F45" s="8">
        <v>10.0</v>
      </c>
      <c r="G45" s="8">
        <v>89.3</v>
      </c>
      <c r="H45" s="8">
        <v>82.8</v>
      </c>
      <c r="I45" s="8">
        <v>17.0</v>
      </c>
      <c r="J45" s="8">
        <v>33.1</v>
      </c>
      <c r="K45" s="8">
        <v>79.7</v>
      </c>
      <c r="L45" s="9">
        <f t="shared" si="1"/>
        <v>37</v>
      </c>
      <c r="M45" s="9">
        <f t="shared" si="2"/>
        <v>19.272799</v>
      </c>
      <c r="N45" s="9">
        <f t="shared" si="3"/>
        <v>57.4</v>
      </c>
      <c r="O45" s="9">
        <f t="shared" si="4"/>
        <v>30</v>
      </c>
      <c r="P45" s="9">
        <f t="shared" si="6"/>
        <v>14</v>
      </c>
      <c r="Q45" s="9">
        <f t="shared" ref="Q45:R45" si="43">average(L39:L45)</f>
        <v>45.97142857</v>
      </c>
      <c r="R45" s="9">
        <f t="shared" si="43"/>
        <v>24.421177</v>
      </c>
      <c r="S45" s="11" t="s">
        <v>27</v>
      </c>
      <c r="T45" s="11" t="s">
        <v>27</v>
      </c>
      <c r="U45" s="12">
        <v>2.58</v>
      </c>
      <c r="V45" s="12">
        <v>5386.2</v>
      </c>
      <c r="W45" s="12">
        <v>30.0</v>
      </c>
      <c r="X45" s="8">
        <v>16743.0</v>
      </c>
      <c r="Y45" s="8">
        <v>800.0</v>
      </c>
      <c r="Z45" s="8">
        <v>567.0</v>
      </c>
      <c r="AA45" s="8">
        <v>6.823</v>
      </c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ht="15.75" customHeight="1">
      <c r="A46" s="6">
        <v>45.0</v>
      </c>
      <c r="B46" s="7">
        <v>49354.0</v>
      </c>
      <c r="C46" s="8">
        <v>15.0</v>
      </c>
      <c r="D46" s="8">
        <v>67.4</v>
      </c>
      <c r="E46" s="8">
        <v>80.6</v>
      </c>
      <c r="F46" s="8">
        <v>15.0</v>
      </c>
      <c r="G46" s="8">
        <v>67.4</v>
      </c>
      <c r="H46" s="8">
        <v>80.6</v>
      </c>
      <c r="I46" s="8">
        <v>30.0</v>
      </c>
      <c r="J46" s="8">
        <v>34.0</v>
      </c>
      <c r="K46" s="8">
        <v>82.9</v>
      </c>
      <c r="L46" s="9">
        <f t="shared" si="1"/>
        <v>60</v>
      </c>
      <c r="M46" s="9">
        <f t="shared" si="2"/>
        <v>24.75312</v>
      </c>
      <c r="N46" s="9">
        <f t="shared" si="3"/>
        <v>37</v>
      </c>
      <c r="O46" s="9">
        <f t="shared" si="4"/>
        <v>57.4</v>
      </c>
      <c r="P46" s="9">
        <f t="shared" si="6"/>
        <v>90.4</v>
      </c>
      <c r="Q46" s="9">
        <f t="shared" ref="Q46:R46" si="44">average(L40:L46)</f>
        <v>52.54285714</v>
      </c>
      <c r="R46" s="9">
        <f t="shared" si="44"/>
        <v>27.480951</v>
      </c>
      <c r="S46" s="11" t="s">
        <v>27</v>
      </c>
      <c r="T46" s="11" t="s">
        <v>27</v>
      </c>
      <c r="U46" s="12">
        <v>4.3</v>
      </c>
      <c r="V46" s="12">
        <v>4330.7</v>
      </c>
      <c r="W46" s="12">
        <v>17.0</v>
      </c>
      <c r="X46" s="8">
        <v>18046.0</v>
      </c>
      <c r="Y46" s="8">
        <v>986.0</v>
      </c>
      <c r="Z46" s="8">
        <v>860.0</v>
      </c>
      <c r="AA46" s="8">
        <v>7.244</v>
      </c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ht="15.75" customHeight="1">
      <c r="A47" s="6">
        <v>46.0</v>
      </c>
      <c r="B47" s="7">
        <v>49355.0</v>
      </c>
      <c r="C47" s="8">
        <v>16.0</v>
      </c>
      <c r="D47" s="8">
        <v>94.2</v>
      </c>
      <c r="E47" s="8">
        <v>80.8</v>
      </c>
      <c r="F47" s="8">
        <v>16.0</v>
      </c>
      <c r="G47" s="8">
        <v>94.2</v>
      </c>
      <c r="H47" s="8">
        <v>80.8</v>
      </c>
      <c r="I47" s="8">
        <v>20.0</v>
      </c>
      <c r="J47" s="8">
        <v>40.7</v>
      </c>
      <c r="K47" s="8">
        <v>80.5</v>
      </c>
      <c r="L47" s="9">
        <f t="shared" si="1"/>
        <v>52</v>
      </c>
      <c r="M47" s="9">
        <f t="shared" si="2"/>
        <v>30.909052</v>
      </c>
      <c r="N47" s="9">
        <f t="shared" si="3"/>
        <v>60</v>
      </c>
      <c r="O47" s="9">
        <f t="shared" si="4"/>
        <v>37</v>
      </c>
      <c r="P47" s="9">
        <f t="shared" si="6"/>
        <v>50</v>
      </c>
      <c r="Q47" s="9">
        <f t="shared" ref="Q47:R47" si="45">average(L41:L47)</f>
        <v>47.05714286</v>
      </c>
      <c r="R47" s="9">
        <f t="shared" si="45"/>
        <v>23.11179511</v>
      </c>
      <c r="S47" s="11" t="s">
        <v>27</v>
      </c>
      <c r="T47" s="11" t="s">
        <v>27</v>
      </c>
      <c r="U47" s="12">
        <v>4.11</v>
      </c>
      <c r="V47" s="12">
        <v>4863.4</v>
      </c>
      <c r="W47" s="12">
        <v>16.0</v>
      </c>
      <c r="X47" s="8">
        <v>25680.0</v>
      </c>
      <c r="Y47" s="8">
        <v>1070.0</v>
      </c>
      <c r="Z47" s="8">
        <v>795.0</v>
      </c>
      <c r="AA47" s="8">
        <v>9.72</v>
      </c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ht="15.75" customHeight="1">
      <c r="A48" s="6">
        <v>47.0</v>
      </c>
      <c r="B48" s="7">
        <v>49356.0</v>
      </c>
      <c r="C48" s="8">
        <v>5.0</v>
      </c>
      <c r="D48" s="8">
        <v>77.5</v>
      </c>
      <c r="E48" s="8">
        <v>81.3</v>
      </c>
      <c r="F48" s="8">
        <v>5.0</v>
      </c>
      <c r="G48" s="8">
        <v>77.5</v>
      </c>
      <c r="H48" s="8">
        <v>81.3</v>
      </c>
      <c r="I48" s="8">
        <v>15.0</v>
      </c>
      <c r="J48" s="8">
        <v>38.8</v>
      </c>
      <c r="K48" s="8">
        <v>80.4</v>
      </c>
      <c r="L48" s="9">
        <f t="shared" si="1"/>
        <v>25</v>
      </c>
      <c r="M48" s="9">
        <f t="shared" si="2"/>
        <v>10.98003</v>
      </c>
      <c r="N48" s="9">
        <f t="shared" si="3"/>
        <v>52</v>
      </c>
      <c r="O48" s="9">
        <f t="shared" si="4"/>
        <v>60</v>
      </c>
      <c r="P48" s="9">
        <f t="shared" si="6"/>
        <v>43</v>
      </c>
      <c r="Q48" s="9">
        <f t="shared" ref="Q48:R48" si="46">average(L42:L48)</f>
        <v>43.48571429</v>
      </c>
      <c r="R48" s="9">
        <f t="shared" si="46"/>
        <v>20.36593369</v>
      </c>
      <c r="S48" s="11" t="s">
        <v>27</v>
      </c>
      <c r="T48" s="11" t="s">
        <v>27</v>
      </c>
      <c r="U48" s="12">
        <v>4.64</v>
      </c>
      <c r="V48" s="12">
        <v>4476.4</v>
      </c>
      <c r="W48" s="12">
        <v>15.0</v>
      </c>
      <c r="X48" s="8">
        <v>25375.0</v>
      </c>
      <c r="Y48" s="8">
        <v>1113.0</v>
      </c>
      <c r="Z48" s="8">
        <v>947.0</v>
      </c>
      <c r="AA48" s="8">
        <v>10.029</v>
      </c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ht="15.75" customHeight="1">
      <c r="A49" s="6">
        <v>48.0</v>
      </c>
      <c r="B49" s="7">
        <v>49357.0</v>
      </c>
      <c r="C49" s="8">
        <v>5.0</v>
      </c>
      <c r="D49" s="8">
        <v>90.1</v>
      </c>
      <c r="E49" s="8">
        <v>82.3</v>
      </c>
      <c r="F49" s="8">
        <v>5.0</v>
      </c>
      <c r="G49" s="8">
        <v>90.1</v>
      </c>
      <c r="H49" s="8">
        <v>82.3</v>
      </c>
      <c r="I49" s="8">
        <v>5.0</v>
      </c>
      <c r="J49" s="8">
        <v>36.0</v>
      </c>
      <c r="K49" s="8">
        <v>80.2</v>
      </c>
      <c r="L49" s="9">
        <f t="shared" si="1"/>
        <v>15</v>
      </c>
      <c r="M49" s="9">
        <f t="shared" si="2"/>
        <v>8.85883</v>
      </c>
      <c r="N49" s="9">
        <f t="shared" si="3"/>
        <v>25</v>
      </c>
      <c r="O49" s="9">
        <f t="shared" si="4"/>
        <v>52</v>
      </c>
      <c r="P49" s="9">
        <f t="shared" si="6"/>
        <v>30</v>
      </c>
      <c r="Q49" s="9">
        <f t="shared" ref="Q49:R49" si="47">average(L43:L49)</f>
        <v>39.48571429</v>
      </c>
      <c r="R49" s="9">
        <f t="shared" si="47"/>
        <v>19.31188826</v>
      </c>
      <c r="S49" s="11" t="s">
        <v>27</v>
      </c>
      <c r="T49" s="11" t="s">
        <v>27</v>
      </c>
      <c r="U49" s="12">
        <v>4.21</v>
      </c>
      <c r="V49" s="12">
        <v>5144.6</v>
      </c>
      <c r="W49" s="12">
        <v>17.0</v>
      </c>
      <c r="X49" s="8">
        <v>24980.0</v>
      </c>
      <c r="Y49" s="8">
        <v>1021.0</v>
      </c>
      <c r="Z49" s="8">
        <v>832.0</v>
      </c>
      <c r="AA49" s="8">
        <v>9.424</v>
      </c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ht="15.75" customHeight="1">
      <c r="A50" s="6">
        <v>49.0</v>
      </c>
      <c r="B50" s="7">
        <v>49358.0</v>
      </c>
      <c r="C50" s="8">
        <v>16.0</v>
      </c>
      <c r="D50" s="8">
        <v>83.7</v>
      </c>
      <c r="E50" s="8">
        <v>81.6</v>
      </c>
      <c r="F50" s="8">
        <v>16.0</v>
      </c>
      <c r="G50" s="8">
        <v>83.7</v>
      </c>
      <c r="H50" s="8">
        <v>81.6</v>
      </c>
      <c r="I50" s="8">
        <v>0.0</v>
      </c>
      <c r="J50" s="8">
        <v>28.0</v>
      </c>
      <c r="K50" s="8">
        <v>82.4</v>
      </c>
      <c r="L50" s="9">
        <f t="shared" si="1"/>
        <v>32</v>
      </c>
      <c r="M50" s="9">
        <f t="shared" si="2"/>
        <v>21.855744</v>
      </c>
      <c r="N50" s="9">
        <f t="shared" si="3"/>
        <v>15</v>
      </c>
      <c r="O50" s="9">
        <f t="shared" si="4"/>
        <v>25</v>
      </c>
      <c r="P50" s="9">
        <f t="shared" si="6"/>
        <v>57.4</v>
      </c>
      <c r="Q50" s="9">
        <f t="shared" ref="Q50:R50" si="48">average(L44:L50)</f>
        <v>39.77142857</v>
      </c>
      <c r="R50" s="9">
        <f t="shared" si="48"/>
        <v>19.44292311</v>
      </c>
      <c r="S50" s="11" t="s">
        <v>27</v>
      </c>
      <c r="T50" s="11" t="s">
        <v>27</v>
      </c>
      <c r="U50" s="12">
        <v>4.74</v>
      </c>
      <c r="V50" s="12">
        <v>4175.9</v>
      </c>
      <c r="W50" s="12">
        <v>16.0</v>
      </c>
      <c r="X50" s="8">
        <v>15930.0</v>
      </c>
      <c r="Y50" s="8">
        <v>990.0</v>
      </c>
      <c r="Z50" s="8">
        <v>550.0</v>
      </c>
      <c r="AA50" s="8">
        <v>9.207</v>
      </c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ht="15.75" customHeight="1">
      <c r="A51" s="6">
        <v>50.0</v>
      </c>
      <c r="B51" s="7">
        <v>49359.0</v>
      </c>
      <c r="C51" s="8">
        <v>19.3</v>
      </c>
      <c r="D51" s="8">
        <v>81.7</v>
      </c>
      <c r="E51" s="8">
        <v>83.5</v>
      </c>
      <c r="F51" s="8">
        <v>19.3</v>
      </c>
      <c r="G51" s="8">
        <v>81.7</v>
      </c>
      <c r="H51" s="8">
        <v>83.5</v>
      </c>
      <c r="I51" s="8">
        <v>0.0</v>
      </c>
      <c r="J51" s="8">
        <v>28.3</v>
      </c>
      <c r="K51" s="8">
        <v>81.3</v>
      </c>
      <c r="L51" s="9">
        <f t="shared" si="1"/>
        <v>38.6</v>
      </c>
      <c r="M51" s="9">
        <f t="shared" si="2"/>
        <v>26.332727</v>
      </c>
      <c r="N51" s="9">
        <f t="shared" si="3"/>
        <v>32</v>
      </c>
      <c r="O51" s="9">
        <f t="shared" si="4"/>
        <v>15</v>
      </c>
      <c r="P51" s="9">
        <f t="shared" si="6"/>
        <v>37</v>
      </c>
      <c r="Q51" s="9">
        <f t="shared" ref="Q51:R51" si="49">average(L45:L51)</f>
        <v>37.08571429</v>
      </c>
      <c r="R51" s="9">
        <f t="shared" si="49"/>
        <v>20.423186</v>
      </c>
      <c r="S51" s="11" t="s">
        <v>27</v>
      </c>
      <c r="T51" s="11" t="s">
        <v>27</v>
      </c>
      <c r="U51" s="12">
        <v>4.19</v>
      </c>
      <c r="V51" s="12">
        <v>4021.1</v>
      </c>
      <c r="W51" s="12">
        <v>18.0</v>
      </c>
      <c r="X51" s="8">
        <v>24650.0</v>
      </c>
      <c r="Y51" s="8">
        <v>942.0</v>
      </c>
      <c r="Z51" s="8">
        <v>760.0</v>
      </c>
      <c r="AA51" s="8">
        <v>9.159</v>
      </c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ht="15.75" customHeight="1">
      <c r="A52" s="6">
        <v>51.0</v>
      </c>
      <c r="B52" s="7">
        <v>49360.0</v>
      </c>
      <c r="C52" s="8">
        <v>15.0</v>
      </c>
      <c r="D52" s="8">
        <v>93.9</v>
      </c>
      <c r="E52" s="8">
        <v>82.8</v>
      </c>
      <c r="F52" s="8">
        <v>15.0</v>
      </c>
      <c r="G52" s="8">
        <v>93.9</v>
      </c>
      <c r="H52" s="8">
        <v>82.8</v>
      </c>
      <c r="I52" s="8">
        <v>0.0</v>
      </c>
      <c r="J52" s="8">
        <v>21.5</v>
      </c>
      <c r="K52" s="8">
        <v>78.6</v>
      </c>
      <c r="L52" s="9">
        <f t="shared" si="1"/>
        <v>30</v>
      </c>
      <c r="M52" s="9">
        <f t="shared" si="2"/>
        <v>23.32476</v>
      </c>
      <c r="N52" s="9">
        <f t="shared" si="3"/>
        <v>38.6</v>
      </c>
      <c r="O52" s="9">
        <f t="shared" si="4"/>
        <v>32</v>
      </c>
      <c r="P52" s="9">
        <f t="shared" si="6"/>
        <v>60</v>
      </c>
      <c r="Q52" s="9">
        <f t="shared" ref="Q52:R52" si="50">average(L46:L52)</f>
        <v>36.08571429</v>
      </c>
      <c r="R52" s="9">
        <f t="shared" si="50"/>
        <v>21.00203757</v>
      </c>
      <c r="S52" s="11" t="s">
        <v>27</v>
      </c>
      <c r="T52" s="11" t="s">
        <v>27</v>
      </c>
      <c r="U52" s="12">
        <v>3.66</v>
      </c>
      <c r="V52" s="12">
        <v>3749.7</v>
      </c>
      <c r="W52" s="12">
        <v>24.0</v>
      </c>
      <c r="X52" s="8">
        <v>19181.0</v>
      </c>
      <c r="Y52" s="8">
        <v>711.0</v>
      </c>
      <c r="Z52" s="8">
        <v>861.0</v>
      </c>
      <c r="AA52" s="8">
        <v>6.572</v>
      </c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ht="15.75" customHeight="1">
      <c r="A53" s="6">
        <v>52.0</v>
      </c>
      <c r="B53" s="7">
        <v>49361.0</v>
      </c>
      <c r="C53" s="8">
        <v>22.5</v>
      </c>
      <c r="D53" s="8">
        <v>95.7</v>
      </c>
      <c r="E53" s="8">
        <v>84.6</v>
      </c>
      <c r="F53" s="8">
        <v>22.5</v>
      </c>
      <c r="G53" s="8">
        <v>95.7</v>
      </c>
      <c r="H53" s="8">
        <v>84.6</v>
      </c>
      <c r="I53" s="8">
        <v>6.0</v>
      </c>
      <c r="J53" s="8">
        <v>30.6</v>
      </c>
      <c r="K53" s="8">
        <v>81.0</v>
      </c>
      <c r="L53" s="9">
        <f t="shared" si="1"/>
        <v>51</v>
      </c>
      <c r="M53" s="9">
        <f t="shared" si="2"/>
        <v>37.92015</v>
      </c>
      <c r="N53" s="9">
        <f t="shared" si="3"/>
        <v>30</v>
      </c>
      <c r="O53" s="9">
        <f t="shared" si="4"/>
        <v>38.6</v>
      </c>
      <c r="P53" s="9">
        <f t="shared" si="6"/>
        <v>52</v>
      </c>
      <c r="Q53" s="9">
        <f t="shared" ref="Q53:R53" si="51">average(L47:L53)</f>
        <v>34.8</v>
      </c>
      <c r="R53" s="9">
        <f t="shared" si="51"/>
        <v>22.88304186</v>
      </c>
      <c r="S53" s="11" t="s">
        <v>27</v>
      </c>
      <c r="T53" s="11" t="s">
        <v>27</v>
      </c>
      <c r="U53" s="12">
        <v>2.29</v>
      </c>
      <c r="V53" s="12">
        <v>4127.6</v>
      </c>
      <c r="W53" s="12">
        <v>40.0</v>
      </c>
      <c r="X53" s="8">
        <v>18386.0</v>
      </c>
      <c r="Y53" s="8">
        <v>423.0</v>
      </c>
      <c r="Z53" s="8">
        <v>476.0</v>
      </c>
      <c r="AA53" s="8">
        <v>5.74</v>
      </c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ht="15.75" customHeight="1">
      <c r="A54" s="6">
        <v>53.0</v>
      </c>
      <c r="B54" s="7">
        <v>49362.0</v>
      </c>
      <c r="C54" s="8">
        <v>24.3</v>
      </c>
      <c r="D54" s="8">
        <v>89.0</v>
      </c>
      <c r="E54" s="8">
        <v>82.9</v>
      </c>
      <c r="F54" s="8">
        <v>24.3</v>
      </c>
      <c r="G54" s="8">
        <v>89.0</v>
      </c>
      <c r="H54" s="8">
        <v>82.9</v>
      </c>
      <c r="I54" s="8">
        <v>19.0</v>
      </c>
      <c r="J54" s="8">
        <v>21.6</v>
      </c>
      <c r="K54" s="8">
        <v>70.3</v>
      </c>
      <c r="L54" s="9">
        <f t="shared" si="1"/>
        <v>67.6</v>
      </c>
      <c r="M54" s="9">
        <f t="shared" si="2"/>
        <v>38.742678</v>
      </c>
      <c r="N54" s="9">
        <f t="shared" si="3"/>
        <v>51</v>
      </c>
      <c r="O54" s="9">
        <f t="shared" si="4"/>
        <v>30</v>
      </c>
      <c r="P54" s="9">
        <f t="shared" si="6"/>
        <v>25</v>
      </c>
      <c r="Q54" s="9">
        <f t="shared" ref="Q54:R54" si="52">average(L48:L54)</f>
        <v>37.02857143</v>
      </c>
      <c r="R54" s="9">
        <f t="shared" si="52"/>
        <v>24.00213129</v>
      </c>
      <c r="S54" s="11" t="s">
        <v>27</v>
      </c>
      <c r="T54" s="11" t="s">
        <v>27</v>
      </c>
      <c r="U54" s="12">
        <v>5.66</v>
      </c>
      <c r="V54" s="12">
        <v>3507.7</v>
      </c>
      <c r="W54" s="12">
        <v>16.0</v>
      </c>
      <c r="X54" s="8">
        <v>20889.0</v>
      </c>
      <c r="Y54" s="8">
        <v>1084.0</v>
      </c>
      <c r="Z54" s="8">
        <v>704.0</v>
      </c>
      <c r="AA54" s="8">
        <v>5.747</v>
      </c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 ht="15.75" customHeight="1">
      <c r="A55" s="6">
        <v>54.0</v>
      </c>
      <c r="B55" s="7">
        <v>49363.0</v>
      </c>
      <c r="C55" s="8">
        <v>22.5</v>
      </c>
      <c r="D55" s="8">
        <v>94.7</v>
      </c>
      <c r="E55" s="8">
        <v>84.9</v>
      </c>
      <c r="F55" s="8">
        <v>22.5</v>
      </c>
      <c r="G55" s="8">
        <v>94.7</v>
      </c>
      <c r="H55" s="8">
        <v>84.9</v>
      </c>
      <c r="I55" s="8">
        <v>0.0</v>
      </c>
      <c r="J55" s="8">
        <v>22.6</v>
      </c>
      <c r="K55" s="8">
        <v>77.2</v>
      </c>
      <c r="L55" s="9">
        <f t="shared" si="1"/>
        <v>45</v>
      </c>
      <c r="M55" s="9">
        <f t="shared" si="2"/>
        <v>36.180135</v>
      </c>
      <c r="N55" s="9">
        <f t="shared" si="3"/>
        <v>67.6</v>
      </c>
      <c r="O55" s="9">
        <f t="shared" si="4"/>
        <v>51</v>
      </c>
      <c r="P55" s="9">
        <f t="shared" si="6"/>
        <v>15</v>
      </c>
      <c r="Q55" s="9">
        <f t="shared" ref="Q55:R55" si="53">average(L49:L55)</f>
        <v>39.88571429</v>
      </c>
      <c r="R55" s="9">
        <f t="shared" si="53"/>
        <v>27.60214629</v>
      </c>
      <c r="S55" s="11" t="s">
        <v>27</v>
      </c>
      <c r="T55" s="11" t="s">
        <v>27</v>
      </c>
      <c r="U55" s="12">
        <v>4.48</v>
      </c>
      <c r="V55" s="12">
        <v>5163.6</v>
      </c>
      <c r="W55" s="12">
        <v>18.0</v>
      </c>
      <c r="X55" s="8">
        <v>19612.0</v>
      </c>
      <c r="Y55" s="8">
        <v>935.0</v>
      </c>
      <c r="Z55" s="8">
        <v>669.0</v>
      </c>
      <c r="AA55" s="8">
        <v>6.999</v>
      </c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 ht="15.75" customHeight="1">
      <c r="A56" s="6">
        <v>55.0</v>
      </c>
      <c r="B56" s="7">
        <v>49364.0</v>
      </c>
      <c r="C56" s="8">
        <v>21.0</v>
      </c>
      <c r="D56" s="8">
        <v>94.6</v>
      </c>
      <c r="E56" s="8">
        <v>79.7</v>
      </c>
      <c r="F56" s="8">
        <v>21.0</v>
      </c>
      <c r="G56" s="8">
        <v>94.6</v>
      </c>
      <c r="H56" s="8">
        <v>79.7</v>
      </c>
      <c r="I56" s="8">
        <v>5.0</v>
      </c>
      <c r="J56" s="8">
        <v>21.1</v>
      </c>
      <c r="K56" s="8">
        <v>78.4</v>
      </c>
      <c r="L56" s="9">
        <f t="shared" si="1"/>
        <v>47</v>
      </c>
      <c r="M56" s="9">
        <f t="shared" si="2"/>
        <v>32.493524</v>
      </c>
      <c r="N56" s="9">
        <f t="shared" si="3"/>
        <v>45</v>
      </c>
      <c r="O56" s="9">
        <f t="shared" si="4"/>
        <v>67.6</v>
      </c>
      <c r="P56" s="9">
        <f t="shared" si="6"/>
        <v>32</v>
      </c>
      <c r="Q56" s="9">
        <f t="shared" ref="Q56:R56" si="54">average(L50:L56)</f>
        <v>44.45714286</v>
      </c>
      <c r="R56" s="9">
        <f t="shared" si="54"/>
        <v>30.97853114</v>
      </c>
      <c r="S56" s="11" t="s">
        <v>27</v>
      </c>
      <c r="T56" s="11" t="s">
        <v>27</v>
      </c>
      <c r="U56" s="12">
        <v>5.34</v>
      </c>
      <c r="V56" s="12">
        <v>5696.3</v>
      </c>
      <c r="W56" s="12">
        <v>17.0</v>
      </c>
      <c r="X56" s="8">
        <v>17522.0</v>
      </c>
      <c r="Y56" s="8">
        <v>1015.0</v>
      </c>
      <c r="Z56" s="8">
        <v>711.0</v>
      </c>
      <c r="AA56" s="8">
        <v>6.321</v>
      </c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ht="15.75" customHeight="1">
      <c r="A57" s="6">
        <v>56.0</v>
      </c>
      <c r="B57" s="7">
        <v>49365.0</v>
      </c>
      <c r="C57" s="8">
        <v>21.0</v>
      </c>
      <c r="D57" s="8">
        <v>76.9</v>
      </c>
      <c r="E57" s="8">
        <v>83.9</v>
      </c>
      <c r="F57" s="8">
        <v>21.0</v>
      </c>
      <c r="G57" s="8">
        <v>76.9</v>
      </c>
      <c r="H57" s="8">
        <v>83.9</v>
      </c>
      <c r="I57" s="8">
        <v>10.0</v>
      </c>
      <c r="J57" s="8">
        <v>24.9</v>
      </c>
      <c r="K57" s="8">
        <v>77.9</v>
      </c>
      <c r="L57" s="9">
        <f t="shared" si="1"/>
        <v>52</v>
      </c>
      <c r="M57" s="9">
        <f t="shared" si="2"/>
        <v>29.037732</v>
      </c>
      <c r="N57" s="9">
        <f t="shared" si="3"/>
        <v>47</v>
      </c>
      <c r="O57" s="9">
        <f t="shared" si="4"/>
        <v>45</v>
      </c>
      <c r="P57" s="9">
        <f t="shared" si="6"/>
        <v>38.6</v>
      </c>
      <c r="Q57" s="9">
        <f t="shared" ref="Q57:R57" si="55">average(L51:L57)</f>
        <v>47.31428571</v>
      </c>
      <c r="R57" s="9">
        <f t="shared" si="55"/>
        <v>32.00452943</v>
      </c>
      <c r="S57" s="11" t="s">
        <v>27</v>
      </c>
      <c r="T57" s="11" t="s">
        <v>27</v>
      </c>
      <c r="U57" s="12">
        <v>4.86</v>
      </c>
      <c r="V57" s="12">
        <v>4679.6</v>
      </c>
      <c r="W57" s="12">
        <v>17.0</v>
      </c>
      <c r="X57" s="8">
        <v>26488.0</v>
      </c>
      <c r="Y57" s="8">
        <v>978.0</v>
      </c>
      <c r="Z57" s="8">
        <v>717.0</v>
      </c>
      <c r="AA57" s="8">
        <v>7.489</v>
      </c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 ht="15.75" customHeight="1">
      <c r="A58" s="6">
        <v>57.0</v>
      </c>
      <c r="B58" s="7">
        <v>49366.0</v>
      </c>
      <c r="C58" s="8">
        <v>12.9</v>
      </c>
      <c r="D58" s="8">
        <v>90.2</v>
      </c>
      <c r="E58" s="8">
        <v>83.2</v>
      </c>
      <c r="F58" s="8">
        <v>12.9</v>
      </c>
      <c r="G58" s="8">
        <v>90.2</v>
      </c>
      <c r="H58" s="8">
        <v>83.2</v>
      </c>
      <c r="I58" s="8">
        <v>0.0</v>
      </c>
      <c r="J58" s="8">
        <v>20.0</v>
      </c>
      <c r="K58" s="8">
        <v>80.0</v>
      </c>
      <c r="L58" s="9">
        <f t="shared" si="1"/>
        <v>25.8</v>
      </c>
      <c r="M58" s="9">
        <f t="shared" si="2"/>
        <v>19.3619712</v>
      </c>
      <c r="N58" s="9">
        <f t="shared" si="3"/>
        <v>52</v>
      </c>
      <c r="O58" s="9">
        <f t="shared" si="4"/>
        <v>47</v>
      </c>
      <c r="P58" s="9">
        <f t="shared" si="6"/>
        <v>30</v>
      </c>
      <c r="Q58" s="9">
        <f t="shared" ref="Q58:R58" si="56">average(L52:L58)</f>
        <v>45.48571429</v>
      </c>
      <c r="R58" s="9">
        <f t="shared" si="56"/>
        <v>31.00870717</v>
      </c>
      <c r="S58" s="11" t="s">
        <v>27</v>
      </c>
      <c r="T58" s="11" t="s">
        <v>27</v>
      </c>
      <c r="U58" s="12">
        <v>2.51</v>
      </c>
      <c r="V58" s="12">
        <v>6393.4</v>
      </c>
      <c r="W58" s="12">
        <v>29.0</v>
      </c>
      <c r="X58" s="8">
        <v>19632.0</v>
      </c>
      <c r="Y58" s="8">
        <v>578.0</v>
      </c>
      <c r="Z58" s="8">
        <v>638.0</v>
      </c>
      <c r="AA58" s="8">
        <v>6.631</v>
      </c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 ht="15.75" customHeight="1">
      <c r="A59" s="6">
        <v>58.0</v>
      </c>
      <c r="B59" s="7">
        <v>49367.0</v>
      </c>
      <c r="C59" s="8">
        <v>6.7</v>
      </c>
      <c r="D59" s="8">
        <v>89.1</v>
      </c>
      <c r="E59" s="8">
        <v>82.9</v>
      </c>
      <c r="F59" s="8">
        <v>6.7</v>
      </c>
      <c r="G59" s="8">
        <v>89.1</v>
      </c>
      <c r="H59" s="8">
        <v>82.9</v>
      </c>
      <c r="I59" s="8">
        <v>15.0</v>
      </c>
      <c r="J59" s="8">
        <v>31.2</v>
      </c>
      <c r="K59" s="8">
        <v>79.3</v>
      </c>
      <c r="L59" s="9">
        <f t="shared" si="1"/>
        <v>28.4</v>
      </c>
      <c r="M59" s="9">
        <f t="shared" si="2"/>
        <v>13.6090026</v>
      </c>
      <c r="N59" s="9">
        <f t="shared" si="3"/>
        <v>25.8</v>
      </c>
      <c r="O59" s="9">
        <f t="shared" si="4"/>
        <v>52</v>
      </c>
      <c r="P59" s="9">
        <f t="shared" si="6"/>
        <v>51</v>
      </c>
      <c r="Q59" s="9">
        <f t="shared" ref="Q59:R59" si="57">average(L53:L59)</f>
        <v>45.25714286</v>
      </c>
      <c r="R59" s="9">
        <f t="shared" si="57"/>
        <v>29.62074183</v>
      </c>
      <c r="S59" s="11" t="s">
        <v>27</v>
      </c>
      <c r="T59" s="11" t="s">
        <v>27</v>
      </c>
      <c r="U59" s="12">
        <v>4.62</v>
      </c>
      <c r="V59" s="12">
        <v>5918.9</v>
      </c>
      <c r="W59" s="12">
        <v>17.0</v>
      </c>
      <c r="X59" s="8">
        <v>21373.0</v>
      </c>
      <c r="Y59" s="8">
        <v>1017.0</v>
      </c>
      <c r="Z59" s="8">
        <v>716.0</v>
      </c>
      <c r="AA59" s="8">
        <v>7.917</v>
      </c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ht="15.75" customHeight="1">
      <c r="A60" s="6">
        <v>59.0</v>
      </c>
      <c r="B60" s="7">
        <v>49368.0</v>
      </c>
      <c r="C60" s="8">
        <v>12.3</v>
      </c>
      <c r="D60" s="8">
        <v>89.1</v>
      </c>
      <c r="E60" s="8">
        <v>82.9</v>
      </c>
      <c r="F60" s="8">
        <v>12.3</v>
      </c>
      <c r="G60" s="8">
        <v>89.1</v>
      </c>
      <c r="H60" s="8">
        <v>82.9</v>
      </c>
      <c r="I60" s="8">
        <v>15.0</v>
      </c>
      <c r="J60" s="8">
        <v>34.6</v>
      </c>
      <c r="K60" s="8">
        <v>80.5</v>
      </c>
      <c r="L60" s="9">
        <f t="shared" si="1"/>
        <v>39.6</v>
      </c>
      <c r="M60" s="9">
        <f t="shared" si="2"/>
        <v>22.3484694</v>
      </c>
      <c r="N60" s="9">
        <f t="shared" si="3"/>
        <v>28.4</v>
      </c>
      <c r="O60" s="9">
        <f t="shared" si="4"/>
        <v>25.8</v>
      </c>
      <c r="P60" s="9">
        <f t="shared" si="6"/>
        <v>67.6</v>
      </c>
      <c r="Q60" s="9">
        <f t="shared" ref="Q60:R60" si="58">average(L54:L60)</f>
        <v>43.62857143</v>
      </c>
      <c r="R60" s="9">
        <f t="shared" si="58"/>
        <v>27.39621603</v>
      </c>
      <c r="S60" s="11" t="s">
        <v>27</v>
      </c>
      <c r="T60" s="11" t="s">
        <v>27</v>
      </c>
      <c r="U60" s="12">
        <v>4.33</v>
      </c>
      <c r="V60" s="12">
        <v>5734.8</v>
      </c>
      <c r="W60" s="12">
        <v>19.0</v>
      </c>
      <c r="X60" s="8">
        <v>20479.0</v>
      </c>
      <c r="Y60" s="8">
        <v>905.0</v>
      </c>
      <c r="Z60" s="8">
        <v>744.0</v>
      </c>
      <c r="AA60" s="8">
        <v>7.495</v>
      </c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 ht="15.75" customHeight="1">
      <c r="A61" s="6">
        <v>60.0</v>
      </c>
      <c r="B61" s="7">
        <v>49369.0</v>
      </c>
      <c r="C61" s="8">
        <v>10.7</v>
      </c>
      <c r="D61" s="8">
        <v>77.1</v>
      </c>
      <c r="E61" s="8">
        <v>85.2</v>
      </c>
      <c r="F61" s="8">
        <v>10.7</v>
      </c>
      <c r="G61" s="8">
        <v>77.1</v>
      </c>
      <c r="H61" s="8">
        <v>85.2</v>
      </c>
      <c r="I61" s="8">
        <v>15.0</v>
      </c>
      <c r="J61" s="8">
        <v>36.5</v>
      </c>
      <c r="K61" s="8">
        <v>81.3</v>
      </c>
      <c r="L61" s="9">
        <f t="shared" si="1"/>
        <v>36.4</v>
      </c>
      <c r="M61" s="9">
        <f t="shared" si="2"/>
        <v>18.5086638</v>
      </c>
      <c r="N61" s="9">
        <f t="shared" si="3"/>
        <v>39.6</v>
      </c>
      <c r="O61" s="9">
        <f t="shared" si="4"/>
        <v>28.4</v>
      </c>
      <c r="P61" s="9">
        <f t="shared" si="6"/>
        <v>45</v>
      </c>
      <c r="Q61" s="9">
        <f t="shared" ref="Q61:R61" si="59">average(L55:L61)</f>
        <v>39.17142857</v>
      </c>
      <c r="R61" s="9">
        <f t="shared" si="59"/>
        <v>24.50564257</v>
      </c>
      <c r="S61" s="11" t="s">
        <v>27</v>
      </c>
      <c r="T61" s="11" t="s">
        <v>27</v>
      </c>
      <c r="U61" s="12">
        <v>4.58</v>
      </c>
      <c r="V61" s="12">
        <v>5192.8</v>
      </c>
      <c r="W61" s="12">
        <v>17.0</v>
      </c>
      <c r="X61" s="8">
        <v>21286.0</v>
      </c>
      <c r="Y61" s="8">
        <v>1007.0</v>
      </c>
      <c r="Z61" s="8">
        <v>812.0</v>
      </c>
      <c r="AA61" s="8">
        <v>7.832</v>
      </c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 ht="15.75" customHeight="1">
      <c r="A62" s="6">
        <v>61.0</v>
      </c>
      <c r="B62" s="7">
        <v>49370.0</v>
      </c>
      <c r="C62" s="8">
        <v>11.3</v>
      </c>
      <c r="D62" s="8">
        <v>91.3</v>
      </c>
      <c r="E62" s="8">
        <v>79.5</v>
      </c>
      <c r="F62" s="8">
        <v>11.3</v>
      </c>
      <c r="G62" s="8">
        <v>91.3</v>
      </c>
      <c r="H62" s="8">
        <v>79.5</v>
      </c>
      <c r="I62" s="8">
        <v>7.0</v>
      </c>
      <c r="J62" s="8">
        <v>35.1</v>
      </c>
      <c r="K62" s="8">
        <v>81.0</v>
      </c>
      <c r="L62" s="9">
        <f t="shared" si="1"/>
        <v>29.6</v>
      </c>
      <c r="M62" s="9">
        <f t="shared" si="2"/>
        <v>18.394041</v>
      </c>
      <c r="N62" s="9">
        <f t="shared" si="3"/>
        <v>36.4</v>
      </c>
      <c r="O62" s="9">
        <f t="shared" si="4"/>
        <v>39.6</v>
      </c>
      <c r="P62" s="9">
        <f t="shared" si="6"/>
        <v>47</v>
      </c>
      <c r="Q62" s="9">
        <f t="shared" ref="Q62:R62" si="60">average(L56:L62)</f>
        <v>36.97142857</v>
      </c>
      <c r="R62" s="9">
        <f t="shared" si="60"/>
        <v>21.964772</v>
      </c>
      <c r="S62" s="11" t="s">
        <v>27</v>
      </c>
      <c r="T62" s="11" t="s">
        <v>27</v>
      </c>
      <c r="U62" s="12">
        <v>3.15</v>
      </c>
      <c r="V62" s="12">
        <v>6645.0</v>
      </c>
      <c r="W62" s="12">
        <v>25.0</v>
      </c>
      <c r="X62" s="8">
        <v>16814.0</v>
      </c>
      <c r="Y62" s="8">
        <v>674.0</v>
      </c>
      <c r="Z62" s="8">
        <v>671.0</v>
      </c>
      <c r="AA62" s="8">
        <v>5.899</v>
      </c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 ht="15.75" customHeight="1">
      <c r="A63" s="6">
        <v>62.0</v>
      </c>
      <c r="B63" s="7">
        <v>49371.0</v>
      </c>
      <c r="C63" s="8">
        <v>9.8</v>
      </c>
      <c r="D63" s="8">
        <v>90.2</v>
      </c>
      <c r="E63" s="8">
        <v>82.7</v>
      </c>
      <c r="F63" s="8">
        <v>9.8</v>
      </c>
      <c r="G63" s="8">
        <v>90.2</v>
      </c>
      <c r="H63" s="8">
        <v>82.7</v>
      </c>
      <c r="I63" s="8">
        <v>3.0</v>
      </c>
      <c r="J63" s="8">
        <v>33.1</v>
      </c>
      <c r="K63" s="8">
        <v>80.7</v>
      </c>
      <c r="L63" s="9">
        <f t="shared" si="1"/>
        <v>22.6</v>
      </c>
      <c r="M63" s="9">
        <f t="shared" si="2"/>
        <v>15.4220494</v>
      </c>
      <c r="N63" s="9">
        <f t="shared" si="3"/>
        <v>29.6</v>
      </c>
      <c r="O63" s="9">
        <f t="shared" si="4"/>
        <v>36.4</v>
      </c>
      <c r="P63" s="9">
        <f t="shared" si="6"/>
        <v>52</v>
      </c>
      <c r="Q63" s="9">
        <f t="shared" ref="Q63:R63" si="61">average(L57:L63)</f>
        <v>33.48571429</v>
      </c>
      <c r="R63" s="9">
        <f t="shared" si="61"/>
        <v>19.52598991</v>
      </c>
      <c r="S63" s="11">
        <v>44.56</v>
      </c>
      <c r="T63" s="11">
        <v>43.2425</v>
      </c>
      <c r="U63" s="12">
        <v>3.92</v>
      </c>
      <c r="V63" s="12">
        <v>5831.8</v>
      </c>
      <c r="W63" s="12">
        <v>20.0</v>
      </c>
      <c r="X63" s="8">
        <v>21113.0</v>
      </c>
      <c r="Y63" s="8">
        <v>831.0</v>
      </c>
      <c r="Z63" s="8">
        <v>863.0</v>
      </c>
      <c r="AA63" s="8">
        <v>7.48</v>
      </c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ht="15.75" customHeight="1">
      <c r="A64" s="6">
        <v>63.0</v>
      </c>
      <c r="B64" s="7">
        <v>49372.0</v>
      </c>
      <c r="C64" s="8">
        <v>10.5</v>
      </c>
      <c r="D64" s="8">
        <v>93.4</v>
      </c>
      <c r="E64" s="8">
        <v>78.6</v>
      </c>
      <c r="F64" s="8">
        <v>10.5</v>
      </c>
      <c r="G64" s="8">
        <v>93.4</v>
      </c>
      <c r="H64" s="8">
        <v>78.6</v>
      </c>
      <c r="I64" s="8">
        <v>5.0</v>
      </c>
      <c r="J64" s="8">
        <v>37.9</v>
      </c>
      <c r="K64" s="8">
        <v>82.7</v>
      </c>
      <c r="L64" s="9">
        <f t="shared" si="1"/>
        <v>26</v>
      </c>
      <c r="M64" s="9">
        <f t="shared" si="2"/>
        <v>16.983769</v>
      </c>
      <c r="N64" s="9">
        <f t="shared" si="3"/>
        <v>22.6</v>
      </c>
      <c r="O64" s="9">
        <f t="shared" si="4"/>
        <v>29.6</v>
      </c>
      <c r="P64" s="9">
        <f t="shared" si="6"/>
        <v>25.8</v>
      </c>
      <c r="Q64" s="9">
        <f t="shared" ref="Q64:R64" si="62">average(L58:L64)</f>
        <v>29.77142857</v>
      </c>
      <c r="R64" s="9">
        <f t="shared" si="62"/>
        <v>17.8039952</v>
      </c>
      <c r="S64" s="11">
        <v>44.52</v>
      </c>
      <c r="T64" s="11">
        <v>43.4</v>
      </c>
      <c r="U64" s="12">
        <v>4.03</v>
      </c>
      <c r="V64" s="12">
        <v>5522.1</v>
      </c>
      <c r="W64" s="12">
        <v>20.0</v>
      </c>
      <c r="X64" s="8">
        <v>19274.0</v>
      </c>
      <c r="Y64" s="8">
        <v>865.0</v>
      </c>
      <c r="Z64" s="8">
        <v>820.0</v>
      </c>
      <c r="AA64" s="8">
        <v>7.019</v>
      </c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ht="15.75" customHeight="1">
      <c r="A65" s="6">
        <v>64.0</v>
      </c>
      <c r="B65" s="7">
        <v>49373.0</v>
      </c>
      <c r="C65" s="8">
        <v>23.7</v>
      </c>
      <c r="D65" s="8">
        <v>94.4</v>
      </c>
      <c r="E65" s="8">
        <v>84.5</v>
      </c>
      <c r="F65" s="8">
        <v>23.7</v>
      </c>
      <c r="G65" s="8">
        <v>94.4</v>
      </c>
      <c r="H65" s="8">
        <v>84.5</v>
      </c>
      <c r="I65" s="8">
        <v>0.0</v>
      </c>
      <c r="J65" s="8">
        <v>30.2</v>
      </c>
      <c r="K65" s="8">
        <v>84.1</v>
      </c>
      <c r="L65" s="9">
        <f t="shared" si="1"/>
        <v>47.4</v>
      </c>
      <c r="M65" s="9">
        <f t="shared" si="2"/>
        <v>37.810032</v>
      </c>
      <c r="N65" s="9">
        <f t="shared" si="3"/>
        <v>26</v>
      </c>
      <c r="O65" s="9">
        <f t="shared" si="4"/>
        <v>22.6</v>
      </c>
      <c r="P65" s="9">
        <f t="shared" si="6"/>
        <v>28.4</v>
      </c>
      <c r="Q65" s="9">
        <f t="shared" ref="Q65:R65" si="63">average(L59:L65)</f>
        <v>32.85714286</v>
      </c>
      <c r="R65" s="9">
        <f t="shared" si="63"/>
        <v>20.43943246</v>
      </c>
      <c r="S65" s="11">
        <v>44.11</v>
      </c>
      <c r="T65" s="11">
        <v>43.70249999999999</v>
      </c>
      <c r="U65" s="12">
        <v>2.45</v>
      </c>
      <c r="V65" s="12">
        <v>5706.0</v>
      </c>
      <c r="W65" s="12">
        <v>29.0</v>
      </c>
      <c r="X65" s="8">
        <v>15105.0</v>
      </c>
      <c r="Y65" s="8">
        <v>582.0</v>
      </c>
      <c r="Z65" s="8">
        <v>705.0</v>
      </c>
      <c r="AA65" s="8">
        <v>5.438</v>
      </c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ht="15.75" customHeight="1">
      <c r="A66" s="6">
        <v>65.0</v>
      </c>
      <c r="B66" s="7">
        <v>49374.0</v>
      </c>
      <c r="C66" s="8">
        <v>25.8</v>
      </c>
      <c r="D66" s="8">
        <v>94.5</v>
      </c>
      <c r="E66" s="8">
        <v>82.8</v>
      </c>
      <c r="F66" s="8">
        <v>25.8</v>
      </c>
      <c r="G66" s="8">
        <v>94.5</v>
      </c>
      <c r="H66" s="8">
        <v>82.8</v>
      </c>
      <c r="I66" s="8">
        <v>5.0</v>
      </c>
      <c r="J66" s="8">
        <v>35.4</v>
      </c>
      <c r="K66" s="8">
        <v>80.0</v>
      </c>
      <c r="L66" s="9">
        <f t="shared" si="1"/>
        <v>56.6</v>
      </c>
      <c r="M66" s="9">
        <f t="shared" si="2"/>
        <v>41.790936</v>
      </c>
      <c r="N66" s="9">
        <f t="shared" si="3"/>
        <v>47.4</v>
      </c>
      <c r="O66" s="9">
        <f t="shared" si="4"/>
        <v>26</v>
      </c>
      <c r="P66" s="9">
        <f t="shared" si="6"/>
        <v>39.6</v>
      </c>
      <c r="Q66" s="9">
        <f t="shared" ref="Q66:R66" si="64">average(L60:L66)</f>
        <v>36.88571429</v>
      </c>
      <c r="R66" s="9">
        <f t="shared" si="64"/>
        <v>24.46542294</v>
      </c>
      <c r="S66" s="11">
        <v>43.19</v>
      </c>
      <c r="T66" s="11">
        <v>43.822500000000005</v>
      </c>
      <c r="U66" s="12">
        <v>3.22</v>
      </c>
      <c r="V66" s="12">
        <v>5599.5</v>
      </c>
      <c r="W66" s="12">
        <v>26.0</v>
      </c>
      <c r="X66" s="8">
        <v>13207.0</v>
      </c>
      <c r="Y66" s="8">
        <v>655.0</v>
      </c>
      <c r="Z66" s="8">
        <v>854.0</v>
      </c>
      <c r="AA66" s="8">
        <v>4.81</v>
      </c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ht="15.75" customHeight="1">
      <c r="A67" s="6">
        <v>66.0</v>
      </c>
      <c r="B67" s="7">
        <v>49375.0</v>
      </c>
      <c r="C67" s="8">
        <v>20.0</v>
      </c>
      <c r="D67" s="8">
        <v>89.0</v>
      </c>
      <c r="E67" s="8">
        <v>84.7</v>
      </c>
      <c r="F67" s="8">
        <v>20.0</v>
      </c>
      <c r="G67" s="8">
        <v>89.0</v>
      </c>
      <c r="H67" s="8">
        <v>84.7</v>
      </c>
      <c r="I67" s="8">
        <v>3.0</v>
      </c>
      <c r="J67" s="8">
        <v>30.5</v>
      </c>
      <c r="K67" s="8">
        <v>81.3</v>
      </c>
      <c r="L67" s="9">
        <f t="shared" si="1"/>
        <v>43</v>
      </c>
      <c r="M67" s="9">
        <f t="shared" si="2"/>
        <v>30.897095</v>
      </c>
      <c r="N67" s="9">
        <f t="shared" si="3"/>
        <v>56.6</v>
      </c>
      <c r="O67" s="9">
        <f t="shared" si="4"/>
        <v>47.4</v>
      </c>
      <c r="P67" s="9">
        <f t="shared" si="6"/>
        <v>36.4</v>
      </c>
      <c r="Q67" s="9">
        <f t="shared" ref="Q67:R67" si="65">average(L61:L67)</f>
        <v>37.37142857</v>
      </c>
      <c r="R67" s="9">
        <f t="shared" si="65"/>
        <v>25.68665517</v>
      </c>
      <c r="S67" s="11">
        <v>42.31</v>
      </c>
      <c r="T67" s="11">
        <v>43.6125</v>
      </c>
      <c r="U67" s="12">
        <v>4.44</v>
      </c>
      <c r="V67" s="12">
        <v>5250.9</v>
      </c>
      <c r="W67" s="12">
        <v>20.0</v>
      </c>
      <c r="X67" s="8">
        <v>17305.0</v>
      </c>
      <c r="Y67" s="8">
        <v>860.0</v>
      </c>
      <c r="Z67" s="8">
        <v>764.0</v>
      </c>
      <c r="AA67" s="8">
        <v>6.282</v>
      </c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ht="15.75" customHeight="1">
      <c r="A68" s="6">
        <v>67.0</v>
      </c>
      <c r="B68" s="7">
        <v>49376.0</v>
      </c>
      <c r="C68" s="8">
        <v>24.2</v>
      </c>
      <c r="D68" s="8">
        <v>81.6</v>
      </c>
      <c r="E68" s="8">
        <v>81.8</v>
      </c>
      <c r="F68" s="8">
        <v>24.2</v>
      </c>
      <c r="G68" s="8">
        <v>81.6</v>
      </c>
      <c r="H68" s="8">
        <v>81.8</v>
      </c>
      <c r="I68" s="8">
        <v>15.0</v>
      </c>
      <c r="J68" s="8">
        <v>44.3</v>
      </c>
      <c r="K68" s="8">
        <v>79.1</v>
      </c>
      <c r="L68" s="9">
        <f t="shared" si="1"/>
        <v>63.4</v>
      </c>
      <c r="M68" s="9">
        <f t="shared" si="2"/>
        <v>37.5626142</v>
      </c>
      <c r="N68" s="9">
        <f t="shared" si="3"/>
        <v>43</v>
      </c>
      <c r="O68" s="9">
        <f t="shared" si="4"/>
        <v>56.6</v>
      </c>
      <c r="P68" s="9">
        <f t="shared" si="6"/>
        <v>29.6</v>
      </c>
      <c r="Q68" s="9">
        <f t="shared" ref="Q68:R68" si="66">average(L62:L68)</f>
        <v>41.22857143</v>
      </c>
      <c r="R68" s="9">
        <f t="shared" si="66"/>
        <v>28.40864809</v>
      </c>
      <c r="S68" s="11">
        <v>42.92</v>
      </c>
      <c r="T68" s="11">
        <v>44.2475</v>
      </c>
      <c r="U68" s="12">
        <v>4.02</v>
      </c>
      <c r="V68" s="12">
        <v>4390.0</v>
      </c>
      <c r="W68" s="12">
        <v>18.0</v>
      </c>
      <c r="X68" s="8">
        <v>19884.0</v>
      </c>
      <c r="Y68" s="8">
        <v>955.0</v>
      </c>
      <c r="Z68" s="8">
        <v>809.0</v>
      </c>
      <c r="AA68" s="8">
        <v>6.714</v>
      </c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ht="15.75" customHeight="1">
      <c r="A69" s="6">
        <v>68.0</v>
      </c>
      <c r="B69" s="7">
        <v>49377.0</v>
      </c>
      <c r="C69" s="8">
        <v>21.3</v>
      </c>
      <c r="D69" s="8">
        <v>93.0</v>
      </c>
      <c r="E69" s="8">
        <v>78.1</v>
      </c>
      <c r="F69" s="8">
        <v>21.3</v>
      </c>
      <c r="G69" s="8">
        <v>93.0</v>
      </c>
      <c r="H69" s="8">
        <v>78.1</v>
      </c>
      <c r="I69" s="8">
        <v>10.0</v>
      </c>
      <c r="J69" s="8">
        <v>20.8</v>
      </c>
      <c r="K69" s="8">
        <v>78.0</v>
      </c>
      <c r="L69" s="9">
        <f t="shared" si="1"/>
        <v>52.6</v>
      </c>
      <c r="M69" s="9">
        <f t="shared" si="2"/>
        <v>32.564058</v>
      </c>
      <c r="N69" s="9">
        <f t="shared" si="3"/>
        <v>63.4</v>
      </c>
      <c r="O69" s="9">
        <f t="shared" si="4"/>
        <v>43</v>
      </c>
      <c r="P69" s="9">
        <f t="shared" si="6"/>
        <v>22.6</v>
      </c>
      <c r="Q69" s="9">
        <f t="shared" ref="Q69:R69" si="67">average(L63:L69)</f>
        <v>44.51428571</v>
      </c>
      <c r="R69" s="9">
        <f t="shared" si="67"/>
        <v>30.43293623</v>
      </c>
      <c r="S69" s="11">
        <v>44.88</v>
      </c>
      <c r="T69" s="11">
        <v>44.5925</v>
      </c>
      <c r="U69" s="12">
        <v>3.34</v>
      </c>
      <c r="V69" s="12">
        <v>5851.5</v>
      </c>
      <c r="W69" s="12">
        <v>20.0</v>
      </c>
      <c r="X69" s="8">
        <v>23686.0</v>
      </c>
      <c r="Y69" s="8">
        <v>827.0</v>
      </c>
      <c r="Z69" s="8">
        <v>779.0</v>
      </c>
      <c r="AA69" s="8">
        <v>7.798</v>
      </c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ht="15.75" customHeight="1">
      <c r="A70" s="6">
        <v>69.0</v>
      </c>
      <c r="B70" s="7">
        <v>49378.0</v>
      </c>
      <c r="C70" s="8">
        <v>22.3</v>
      </c>
      <c r="D70" s="8">
        <v>89.2</v>
      </c>
      <c r="E70" s="8">
        <v>82.0</v>
      </c>
      <c r="F70" s="8">
        <v>22.3</v>
      </c>
      <c r="G70" s="8">
        <v>89.2</v>
      </c>
      <c r="H70" s="8">
        <v>82.0</v>
      </c>
      <c r="I70" s="8">
        <v>10.0</v>
      </c>
      <c r="J70" s="8">
        <v>37.5</v>
      </c>
      <c r="K70" s="8">
        <v>84.6</v>
      </c>
      <c r="L70" s="9">
        <f t="shared" si="1"/>
        <v>54.6</v>
      </c>
      <c r="M70" s="9">
        <f t="shared" si="2"/>
        <v>35.794724</v>
      </c>
      <c r="N70" s="9">
        <f t="shared" si="3"/>
        <v>52.6</v>
      </c>
      <c r="O70" s="9">
        <f t="shared" si="4"/>
        <v>63.4</v>
      </c>
      <c r="P70" s="9">
        <f t="shared" si="6"/>
        <v>26</v>
      </c>
      <c r="Q70" s="9">
        <f t="shared" ref="Q70:R70" si="68">average(L64:L70)</f>
        <v>49.08571429</v>
      </c>
      <c r="R70" s="9">
        <f t="shared" si="68"/>
        <v>33.34331831</v>
      </c>
      <c r="S70" s="11">
        <v>46.77</v>
      </c>
      <c r="T70" s="11">
        <v>44.5775</v>
      </c>
      <c r="U70" s="12">
        <v>3.24</v>
      </c>
      <c r="V70" s="12">
        <v>6093.3</v>
      </c>
      <c r="W70" s="12">
        <v>21.0</v>
      </c>
      <c r="X70" s="8">
        <v>26110.0</v>
      </c>
      <c r="Y70" s="8">
        <v>803.0</v>
      </c>
      <c r="Z70" s="8">
        <v>868.0</v>
      </c>
      <c r="AA70" s="8">
        <v>8.696</v>
      </c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ht="15.75" customHeight="1">
      <c r="A71" s="6">
        <v>70.0</v>
      </c>
      <c r="B71" s="7">
        <v>49379.0</v>
      </c>
      <c r="C71" s="8">
        <v>20.1</v>
      </c>
      <c r="D71" s="8">
        <v>85.9</v>
      </c>
      <c r="E71" s="8">
        <v>74.5</v>
      </c>
      <c r="F71" s="8">
        <v>20.1</v>
      </c>
      <c r="G71" s="8">
        <v>85.9</v>
      </c>
      <c r="H71" s="8">
        <v>74.5</v>
      </c>
      <c r="I71" s="8">
        <v>5.0</v>
      </c>
      <c r="J71" s="8">
        <v>27.9</v>
      </c>
      <c r="K71" s="8">
        <v>80.9</v>
      </c>
      <c r="L71" s="9">
        <f t="shared" si="1"/>
        <v>45.2</v>
      </c>
      <c r="M71" s="9">
        <f t="shared" si="2"/>
        <v>26.854746</v>
      </c>
      <c r="N71" s="9">
        <f t="shared" si="3"/>
        <v>54.6</v>
      </c>
      <c r="O71" s="9">
        <f t="shared" si="4"/>
        <v>52.6</v>
      </c>
      <c r="P71" s="9">
        <f t="shared" si="6"/>
        <v>47.4</v>
      </c>
      <c r="Q71" s="9">
        <f t="shared" ref="Q71:R71" si="69">average(L65:L71)</f>
        <v>51.82857143</v>
      </c>
      <c r="R71" s="9">
        <f t="shared" si="69"/>
        <v>34.75345789</v>
      </c>
      <c r="S71" s="11">
        <v>48.3</v>
      </c>
      <c r="T71" s="11">
        <v>44.5975</v>
      </c>
      <c r="U71" s="12">
        <v>2.98</v>
      </c>
      <c r="V71" s="12">
        <v>6616.3</v>
      </c>
      <c r="W71" s="12">
        <v>23.0</v>
      </c>
      <c r="X71" s="8">
        <v>23690.0</v>
      </c>
      <c r="Y71" s="8">
        <v>723.0</v>
      </c>
      <c r="Z71" s="8">
        <v>748.0</v>
      </c>
      <c r="AA71" s="8">
        <v>7.921</v>
      </c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ht="15.75" customHeight="1">
      <c r="A72" s="6">
        <v>71.0</v>
      </c>
      <c r="B72" s="7">
        <v>49380.0</v>
      </c>
      <c r="C72" s="8">
        <v>36.3</v>
      </c>
      <c r="D72" s="8">
        <v>94.1</v>
      </c>
      <c r="E72" s="8">
        <v>73.5</v>
      </c>
      <c r="F72" s="8">
        <v>36.3</v>
      </c>
      <c r="G72" s="8">
        <v>94.1</v>
      </c>
      <c r="H72" s="8">
        <v>73.5</v>
      </c>
      <c r="I72" s="8">
        <v>0.0</v>
      </c>
      <c r="J72" s="8">
        <v>27.8</v>
      </c>
      <c r="K72" s="8">
        <v>81.5</v>
      </c>
      <c r="L72" s="9">
        <f t="shared" si="1"/>
        <v>72.6</v>
      </c>
      <c r="M72" s="9">
        <f t="shared" si="2"/>
        <v>50.212701</v>
      </c>
      <c r="N72" s="9">
        <f t="shared" si="3"/>
        <v>45.2</v>
      </c>
      <c r="O72" s="9">
        <f t="shared" si="4"/>
        <v>54.6</v>
      </c>
      <c r="P72" s="9">
        <f t="shared" si="6"/>
        <v>56.6</v>
      </c>
      <c r="Q72" s="9">
        <f t="shared" ref="Q72:R72" si="70">average(L66:L72)</f>
        <v>55.42857143</v>
      </c>
      <c r="R72" s="9">
        <f t="shared" si="70"/>
        <v>36.52526774</v>
      </c>
      <c r="S72" s="11">
        <v>47.49</v>
      </c>
      <c r="T72" s="11">
        <v>45.265</v>
      </c>
      <c r="U72" s="12">
        <v>1.06</v>
      </c>
      <c r="V72" s="12">
        <v>6993.7</v>
      </c>
      <c r="W72" s="12">
        <v>61.0</v>
      </c>
      <c r="X72" s="8">
        <v>12484.0</v>
      </c>
      <c r="Y72" s="8">
        <v>278.0</v>
      </c>
      <c r="Z72" s="8">
        <v>647.0</v>
      </c>
      <c r="AA72" s="8">
        <v>4.333</v>
      </c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ht="15.75" customHeight="1">
      <c r="A73" s="6">
        <v>72.0</v>
      </c>
      <c r="B73" s="7">
        <v>49381.0</v>
      </c>
      <c r="C73" s="8">
        <v>40.3</v>
      </c>
      <c r="D73" s="8">
        <v>94.0</v>
      </c>
      <c r="E73" s="8">
        <v>77.6</v>
      </c>
      <c r="F73" s="8">
        <v>40.3</v>
      </c>
      <c r="G73" s="8">
        <v>94.0</v>
      </c>
      <c r="H73" s="8">
        <v>77.6</v>
      </c>
      <c r="I73" s="8">
        <v>0.0</v>
      </c>
      <c r="J73" s="8">
        <v>28.6</v>
      </c>
      <c r="K73" s="8">
        <v>81.1</v>
      </c>
      <c r="L73" s="9">
        <f t="shared" si="1"/>
        <v>80.6</v>
      </c>
      <c r="M73" s="9">
        <f t="shared" si="2"/>
        <v>58.792864</v>
      </c>
      <c r="N73" s="9">
        <f t="shared" si="3"/>
        <v>72.6</v>
      </c>
      <c r="O73" s="9">
        <f t="shared" si="4"/>
        <v>45.2</v>
      </c>
      <c r="P73" s="9">
        <f t="shared" si="6"/>
        <v>43</v>
      </c>
      <c r="Q73" s="9">
        <f t="shared" ref="Q73:R73" si="71">average(L67:L73)</f>
        <v>58.85714286</v>
      </c>
      <c r="R73" s="9">
        <f t="shared" si="71"/>
        <v>38.9541146</v>
      </c>
      <c r="S73" s="11">
        <v>48.73</v>
      </c>
      <c r="T73" s="11">
        <v>45.665</v>
      </c>
      <c r="U73" s="12">
        <v>3.14</v>
      </c>
      <c r="V73" s="12">
        <v>7255.3</v>
      </c>
      <c r="W73" s="12">
        <v>25.0</v>
      </c>
      <c r="X73" s="8">
        <v>14230.0</v>
      </c>
      <c r="Y73" s="8">
        <v>688.0</v>
      </c>
      <c r="Z73" s="8">
        <v>709.0</v>
      </c>
      <c r="AA73" s="8">
        <v>6.149</v>
      </c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 ht="15.75" customHeight="1">
      <c r="A74" s="6">
        <v>73.0</v>
      </c>
      <c r="B74" s="7">
        <v>49382.0</v>
      </c>
      <c r="C74" s="8">
        <v>60.3</v>
      </c>
      <c r="D74" s="8">
        <v>90.3</v>
      </c>
      <c r="E74" s="8">
        <v>81.9</v>
      </c>
      <c r="F74" s="8">
        <v>60.3</v>
      </c>
      <c r="G74" s="8">
        <v>90.3</v>
      </c>
      <c r="H74" s="8">
        <v>81.9</v>
      </c>
      <c r="I74" s="8">
        <v>11.0</v>
      </c>
      <c r="J74" s="8">
        <v>34.7</v>
      </c>
      <c r="K74" s="8">
        <v>82.2</v>
      </c>
      <c r="L74" s="9">
        <f t="shared" si="1"/>
        <v>131.6</v>
      </c>
      <c r="M74" s="9">
        <f t="shared" si="2"/>
        <v>92.3281482</v>
      </c>
      <c r="N74" s="9">
        <f t="shared" si="3"/>
        <v>80.6</v>
      </c>
      <c r="O74" s="9">
        <f t="shared" si="4"/>
        <v>72.6</v>
      </c>
      <c r="P74" s="9">
        <f t="shared" si="6"/>
        <v>63.4</v>
      </c>
      <c r="Q74" s="9">
        <f t="shared" ref="Q74:R74" si="72">average(L68:L74)</f>
        <v>71.51428571</v>
      </c>
      <c r="R74" s="9">
        <f t="shared" si="72"/>
        <v>47.72997934</v>
      </c>
      <c r="S74" s="11">
        <v>49.79</v>
      </c>
      <c r="T74" s="11">
        <v>45.925</v>
      </c>
      <c r="U74" s="12">
        <v>3.42</v>
      </c>
      <c r="V74" s="12">
        <v>7846.0</v>
      </c>
      <c r="W74" s="12">
        <v>21.0</v>
      </c>
      <c r="X74" s="8">
        <v>13785.0</v>
      </c>
      <c r="Y74" s="8">
        <v>702.0</v>
      </c>
      <c r="Z74" s="8">
        <v>860.0</v>
      </c>
      <c r="AA74" s="8">
        <v>5.961</v>
      </c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ht="15.75" customHeight="1">
      <c r="A75" s="6">
        <v>74.0</v>
      </c>
      <c r="B75" s="7">
        <v>49383.0</v>
      </c>
      <c r="C75" s="8">
        <v>60.5</v>
      </c>
      <c r="D75" s="8">
        <v>80.7</v>
      </c>
      <c r="E75" s="8">
        <v>85.0</v>
      </c>
      <c r="F75" s="8">
        <v>60.5</v>
      </c>
      <c r="G75" s="8">
        <v>80.7</v>
      </c>
      <c r="H75" s="8">
        <v>85.0</v>
      </c>
      <c r="I75" s="8">
        <v>10.0</v>
      </c>
      <c r="J75" s="8">
        <v>30.8</v>
      </c>
      <c r="K75" s="8">
        <v>82.1</v>
      </c>
      <c r="L75" s="9">
        <f t="shared" si="1"/>
        <v>131</v>
      </c>
      <c r="M75" s="9">
        <f t="shared" si="2"/>
        <v>85.52863</v>
      </c>
      <c r="N75" s="9">
        <f t="shared" si="3"/>
        <v>131.6</v>
      </c>
      <c r="O75" s="9">
        <f t="shared" si="4"/>
        <v>80.6</v>
      </c>
      <c r="P75" s="9">
        <f t="shared" si="6"/>
        <v>52.6</v>
      </c>
      <c r="Q75" s="9">
        <f t="shared" ref="Q75:R75" si="73">average(L69:L75)</f>
        <v>81.17142857</v>
      </c>
      <c r="R75" s="9">
        <f t="shared" si="73"/>
        <v>54.58226731</v>
      </c>
      <c r="S75" s="11">
        <v>50.14</v>
      </c>
      <c r="T75" s="11">
        <v>45.9725</v>
      </c>
      <c r="U75" s="12">
        <v>3.95</v>
      </c>
      <c r="V75" s="12">
        <v>7187.6</v>
      </c>
      <c r="W75" s="12">
        <v>18.0</v>
      </c>
      <c r="X75" s="8">
        <v>18752.0</v>
      </c>
      <c r="Y75" s="8">
        <v>710.0</v>
      </c>
      <c r="Z75" s="8">
        <v>924.0</v>
      </c>
      <c r="AA75" s="8">
        <v>5.453</v>
      </c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 ht="15.75" customHeight="1">
      <c r="A76" s="6">
        <v>75.0</v>
      </c>
      <c r="B76" s="7">
        <v>49384.0</v>
      </c>
      <c r="C76" s="8">
        <v>56.3</v>
      </c>
      <c r="D76" s="8">
        <v>95.7</v>
      </c>
      <c r="E76" s="8">
        <v>85.0</v>
      </c>
      <c r="F76" s="8">
        <v>56.3</v>
      </c>
      <c r="G76" s="8">
        <v>95.7</v>
      </c>
      <c r="H76" s="8">
        <v>85.0</v>
      </c>
      <c r="I76" s="8">
        <v>10.0</v>
      </c>
      <c r="J76" s="8">
        <v>36.0</v>
      </c>
      <c r="K76" s="8">
        <v>82.1</v>
      </c>
      <c r="L76" s="9">
        <f t="shared" si="1"/>
        <v>122.6</v>
      </c>
      <c r="M76" s="9">
        <f t="shared" si="2"/>
        <v>94.55007</v>
      </c>
      <c r="N76" s="9">
        <f t="shared" si="3"/>
        <v>131</v>
      </c>
      <c r="O76" s="9">
        <f t="shared" si="4"/>
        <v>131.6</v>
      </c>
      <c r="P76" s="9">
        <f t="shared" si="6"/>
        <v>54.6</v>
      </c>
      <c r="Q76" s="9">
        <f t="shared" ref="Q76:R76" si="74">average(L70:L76)</f>
        <v>91.17142857</v>
      </c>
      <c r="R76" s="9">
        <f t="shared" si="74"/>
        <v>63.43741189</v>
      </c>
      <c r="S76" s="11">
        <v>49.92</v>
      </c>
      <c r="T76" s="11">
        <v>46.722500000000004</v>
      </c>
      <c r="U76" s="12">
        <v>4.23</v>
      </c>
      <c r="V76" s="12">
        <v>8916.7</v>
      </c>
      <c r="W76" s="12">
        <v>18.0</v>
      </c>
      <c r="X76" s="8">
        <v>14392.0</v>
      </c>
      <c r="Y76" s="8">
        <v>710.0</v>
      </c>
      <c r="Z76" s="8">
        <v>921.0</v>
      </c>
      <c r="AA76" s="8">
        <v>5.77</v>
      </c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 ht="15.75" customHeight="1">
      <c r="A77" s="6">
        <v>76.0</v>
      </c>
      <c r="B77" s="7">
        <v>49385.0</v>
      </c>
      <c r="C77" s="8">
        <v>60.0</v>
      </c>
      <c r="D77" s="8">
        <v>87.5</v>
      </c>
      <c r="E77" s="8">
        <v>83.1</v>
      </c>
      <c r="F77" s="8">
        <v>60.0</v>
      </c>
      <c r="G77" s="8">
        <v>87.5</v>
      </c>
      <c r="H77" s="8">
        <v>83.1</v>
      </c>
      <c r="I77" s="8">
        <v>3.0</v>
      </c>
      <c r="J77" s="8">
        <v>36.9</v>
      </c>
      <c r="K77" s="8">
        <v>82.0</v>
      </c>
      <c r="L77" s="9">
        <f t="shared" si="1"/>
        <v>123</v>
      </c>
      <c r="M77" s="9">
        <f t="shared" si="2"/>
        <v>88.16274</v>
      </c>
      <c r="N77" s="9">
        <f t="shared" si="3"/>
        <v>122.6</v>
      </c>
      <c r="O77" s="9">
        <f t="shared" si="4"/>
        <v>131</v>
      </c>
      <c r="P77" s="9">
        <f t="shared" si="6"/>
        <v>45.2</v>
      </c>
      <c r="Q77" s="9">
        <f t="shared" ref="Q77:R77" si="75">average(L71:L77)</f>
        <v>100.9428571</v>
      </c>
      <c r="R77" s="9">
        <f t="shared" si="75"/>
        <v>70.91855703</v>
      </c>
      <c r="S77" s="11">
        <v>49.92</v>
      </c>
      <c r="T77" s="11">
        <v>47.32249999999999</v>
      </c>
      <c r="U77" s="12">
        <v>2.82</v>
      </c>
      <c r="V77" s="12">
        <v>5928.7</v>
      </c>
      <c r="W77" s="12">
        <v>22.0</v>
      </c>
      <c r="X77" s="8">
        <v>14343.0</v>
      </c>
      <c r="Y77" s="8">
        <v>777.0</v>
      </c>
      <c r="Z77" s="8">
        <v>1009.0</v>
      </c>
      <c r="AA77" s="8">
        <v>5.736</v>
      </c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ht="15.75" customHeight="1">
      <c r="A78" s="6">
        <v>77.0</v>
      </c>
      <c r="B78" s="7">
        <v>49386.0</v>
      </c>
      <c r="C78" s="8">
        <v>50.0</v>
      </c>
      <c r="D78" s="8">
        <v>94.8</v>
      </c>
      <c r="E78" s="8">
        <v>83.0</v>
      </c>
      <c r="F78" s="8">
        <v>50.0</v>
      </c>
      <c r="G78" s="8">
        <v>94.8</v>
      </c>
      <c r="H78" s="8">
        <v>83.0</v>
      </c>
      <c r="I78" s="8">
        <v>0.0</v>
      </c>
      <c r="J78" s="8">
        <v>41.8</v>
      </c>
      <c r="K78" s="8">
        <v>84.2</v>
      </c>
      <c r="L78" s="9">
        <f t="shared" si="1"/>
        <v>100</v>
      </c>
      <c r="M78" s="9">
        <f t="shared" si="2"/>
        <v>78.684</v>
      </c>
      <c r="N78" s="9">
        <f t="shared" si="3"/>
        <v>123</v>
      </c>
      <c r="O78" s="9">
        <f t="shared" si="4"/>
        <v>122.6</v>
      </c>
      <c r="P78" s="9">
        <f t="shared" si="6"/>
        <v>72.6</v>
      </c>
      <c r="Q78" s="9">
        <f t="shared" ref="Q78:R78" si="76">average(L72:L78)</f>
        <v>108.7714286</v>
      </c>
      <c r="R78" s="9">
        <f t="shared" si="76"/>
        <v>78.32273617</v>
      </c>
      <c r="S78" s="11">
        <v>50.36</v>
      </c>
      <c r="T78" s="11">
        <v>47.8425</v>
      </c>
      <c r="U78" s="12">
        <v>3.51</v>
      </c>
      <c r="V78" s="12">
        <v>7565.2</v>
      </c>
      <c r="W78" s="12">
        <v>19.0</v>
      </c>
      <c r="X78" s="8">
        <v>12269.0</v>
      </c>
      <c r="Y78" s="8">
        <v>164.0</v>
      </c>
      <c r="Z78" s="8">
        <v>993.0</v>
      </c>
      <c r="AA78" s="8">
        <v>4.707</v>
      </c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 ht="15.75" customHeight="1">
      <c r="A79" s="6">
        <v>78.0</v>
      </c>
      <c r="B79" s="7">
        <v>49387.0</v>
      </c>
      <c r="C79" s="8">
        <v>23.1</v>
      </c>
      <c r="D79" s="8">
        <v>94.7</v>
      </c>
      <c r="E79" s="8">
        <v>79.2</v>
      </c>
      <c r="F79" s="8">
        <v>23.1</v>
      </c>
      <c r="G79" s="8">
        <v>94.7</v>
      </c>
      <c r="H79" s="8">
        <v>79.2</v>
      </c>
      <c r="I79" s="8">
        <v>5.0</v>
      </c>
      <c r="J79" s="8">
        <v>32.4</v>
      </c>
      <c r="K79" s="8">
        <v>83.2</v>
      </c>
      <c r="L79" s="9">
        <f t="shared" si="1"/>
        <v>51.2</v>
      </c>
      <c r="M79" s="9">
        <f t="shared" si="2"/>
        <v>35.9989488</v>
      </c>
      <c r="N79" s="9">
        <f t="shared" si="3"/>
        <v>100</v>
      </c>
      <c r="O79" s="9">
        <f t="shared" si="4"/>
        <v>123</v>
      </c>
      <c r="P79" s="9">
        <f t="shared" si="6"/>
        <v>80.6</v>
      </c>
      <c r="Q79" s="9">
        <f t="shared" ref="Q79:R79" si="77">average(L73:L79)</f>
        <v>105.7142857</v>
      </c>
      <c r="R79" s="9">
        <f t="shared" si="77"/>
        <v>76.29220014</v>
      </c>
      <c r="S79" s="11">
        <v>52.11</v>
      </c>
      <c r="T79" s="11">
        <v>48.400000000000006</v>
      </c>
      <c r="U79" s="12">
        <v>2.61</v>
      </c>
      <c r="V79" s="12">
        <v>7826.4</v>
      </c>
      <c r="W79" s="12">
        <v>32.0</v>
      </c>
      <c r="X79" s="8">
        <v>8261.0</v>
      </c>
      <c r="Y79" s="8">
        <v>499.0</v>
      </c>
      <c r="Z79" s="8">
        <v>570.0</v>
      </c>
      <c r="AA79" s="8">
        <v>3.12</v>
      </c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 ht="15.75" customHeight="1">
      <c r="A80" s="6">
        <v>79.0</v>
      </c>
      <c r="B80" s="7">
        <v>49388.0</v>
      </c>
      <c r="C80" s="8">
        <v>53.1</v>
      </c>
      <c r="D80" s="8">
        <v>93.0</v>
      </c>
      <c r="E80" s="8">
        <v>82.2</v>
      </c>
      <c r="F80" s="8">
        <v>53.1</v>
      </c>
      <c r="G80" s="8">
        <v>93.0</v>
      </c>
      <c r="H80" s="8">
        <v>82.2</v>
      </c>
      <c r="I80" s="8">
        <v>10.0</v>
      </c>
      <c r="J80" s="8">
        <v>34.9</v>
      </c>
      <c r="K80" s="8">
        <v>81.9</v>
      </c>
      <c r="L80" s="9">
        <f t="shared" si="1"/>
        <v>116.2</v>
      </c>
      <c r="M80" s="9">
        <f t="shared" si="2"/>
        <v>84.043962</v>
      </c>
      <c r="N80" s="9">
        <f t="shared" si="3"/>
        <v>51.2</v>
      </c>
      <c r="O80" s="9">
        <f t="shared" si="4"/>
        <v>100</v>
      </c>
      <c r="P80" s="9">
        <f t="shared" si="6"/>
        <v>131.6</v>
      </c>
      <c r="Q80" s="9">
        <f t="shared" ref="Q80:R80" si="78">average(L74:L80)</f>
        <v>110.8</v>
      </c>
      <c r="R80" s="9">
        <f t="shared" si="78"/>
        <v>79.89949986</v>
      </c>
      <c r="S80" s="11">
        <v>52.03</v>
      </c>
      <c r="T80" s="11">
        <v>48.55</v>
      </c>
      <c r="U80" s="12">
        <v>3.41</v>
      </c>
      <c r="V80" s="12">
        <v>7768.5</v>
      </c>
      <c r="W80" s="12">
        <v>18.0</v>
      </c>
      <c r="X80" s="8">
        <v>14420.0</v>
      </c>
      <c r="Y80" s="8">
        <v>950.0</v>
      </c>
      <c r="Z80" s="8">
        <v>1012.0</v>
      </c>
      <c r="AA80" s="8">
        <v>6.192</v>
      </c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 ht="15.75" customHeight="1">
      <c r="A81" s="6">
        <v>80.0</v>
      </c>
      <c r="B81" s="7">
        <v>49389.0</v>
      </c>
      <c r="C81" s="8">
        <v>41.5</v>
      </c>
      <c r="D81" s="8">
        <v>93.8</v>
      </c>
      <c r="E81" s="8">
        <v>79.4</v>
      </c>
      <c r="F81" s="8">
        <v>41.5</v>
      </c>
      <c r="G81" s="8">
        <v>93.8</v>
      </c>
      <c r="H81" s="8">
        <v>79.4</v>
      </c>
      <c r="I81" s="8">
        <v>10.0</v>
      </c>
      <c r="J81" s="8">
        <v>39.7</v>
      </c>
      <c r="K81" s="8">
        <v>82.9</v>
      </c>
      <c r="L81" s="9">
        <f t="shared" si="1"/>
        <v>93</v>
      </c>
      <c r="M81" s="9">
        <f t="shared" si="2"/>
        <v>65.107206</v>
      </c>
      <c r="N81" s="9">
        <f t="shared" si="3"/>
        <v>116.2</v>
      </c>
      <c r="O81" s="9">
        <f t="shared" si="4"/>
        <v>51.2</v>
      </c>
      <c r="P81" s="9">
        <f t="shared" si="6"/>
        <v>131</v>
      </c>
      <c r="Q81" s="9">
        <f t="shared" ref="Q81:R81" si="79">average(L75:L81)</f>
        <v>105.2857143</v>
      </c>
      <c r="R81" s="9">
        <f t="shared" si="79"/>
        <v>76.01079383</v>
      </c>
      <c r="S81" s="11">
        <v>53.22</v>
      </c>
      <c r="T81" s="11">
        <v>48.735</v>
      </c>
      <c r="U81" s="12">
        <v>3.19</v>
      </c>
      <c r="V81" s="12">
        <v>6993.8</v>
      </c>
      <c r="W81" s="12">
        <v>23.0</v>
      </c>
      <c r="X81" s="8">
        <v>11983.0</v>
      </c>
      <c r="Y81" s="8">
        <v>448.0</v>
      </c>
      <c r="Z81" s="8">
        <v>1012.0</v>
      </c>
      <c r="AA81" s="8">
        <v>4.869</v>
      </c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 ht="15.75" customHeight="1">
      <c r="A82" s="6">
        <v>81.0</v>
      </c>
      <c r="B82" s="7">
        <v>49390.0</v>
      </c>
      <c r="C82" s="8">
        <v>54.5</v>
      </c>
      <c r="D82" s="8">
        <v>94.8</v>
      </c>
      <c r="E82" s="8">
        <v>73.1</v>
      </c>
      <c r="F82" s="8">
        <v>54.5</v>
      </c>
      <c r="G82" s="8">
        <v>94.8</v>
      </c>
      <c r="H82" s="8">
        <v>73.1</v>
      </c>
      <c r="I82" s="8">
        <v>10.0</v>
      </c>
      <c r="J82" s="8">
        <v>41.0</v>
      </c>
      <c r="K82" s="8">
        <v>76.6</v>
      </c>
      <c r="L82" s="9">
        <f t="shared" si="1"/>
        <v>119</v>
      </c>
      <c r="M82" s="9">
        <f t="shared" si="2"/>
        <v>78.676292</v>
      </c>
      <c r="N82" s="9">
        <f t="shared" si="3"/>
        <v>93</v>
      </c>
      <c r="O82" s="9">
        <f t="shared" si="4"/>
        <v>116.2</v>
      </c>
      <c r="P82" s="9">
        <f t="shared" si="6"/>
        <v>122.6</v>
      </c>
      <c r="Q82" s="9">
        <f t="shared" ref="Q82:R82" si="80">average(L76:L82)</f>
        <v>103.5714286</v>
      </c>
      <c r="R82" s="9">
        <f t="shared" si="80"/>
        <v>75.0318884</v>
      </c>
      <c r="S82" s="11">
        <v>52.63</v>
      </c>
      <c r="T82" s="11">
        <v>48.85249999999999</v>
      </c>
      <c r="U82" s="12">
        <v>3.21</v>
      </c>
      <c r="V82" s="12">
        <v>7293.7</v>
      </c>
      <c r="W82" s="12">
        <v>25.0</v>
      </c>
      <c r="X82" s="8">
        <v>10717.0</v>
      </c>
      <c r="Y82" s="8">
        <v>670.0</v>
      </c>
      <c r="Z82" s="8">
        <v>978.0</v>
      </c>
      <c r="AA82" s="8">
        <v>4.871</v>
      </c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 ht="15.75" customHeight="1">
      <c r="A83" s="6">
        <v>82.0</v>
      </c>
      <c r="B83" s="7">
        <v>49391.0</v>
      </c>
      <c r="C83" s="8">
        <v>27.0</v>
      </c>
      <c r="D83" s="8">
        <v>92.7</v>
      </c>
      <c r="E83" s="8">
        <v>74.2</v>
      </c>
      <c r="F83" s="8">
        <v>27.0</v>
      </c>
      <c r="G83" s="8">
        <v>92.7</v>
      </c>
      <c r="H83" s="8">
        <v>74.2</v>
      </c>
      <c r="I83" s="8">
        <v>35.0</v>
      </c>
      <c r="J83" s="8">
        <v>30.1</v>
      </c>
      <c r="K83" s="8">
        <v>80.8</v>
      </c>
      <c r="L83" s="9">
        <f t="shared" si="1"/>
        <v>89</v>
      </c>
      <c r="M83" s="9">
        <f t="shared" si="2"/>
        <v>45.655316</v>
      </c>
      <c r="N83" s="9">
        <f t="shared" si="3"/>
        <v>119</v>
      </c>
      <c r="O83" s="9">
        <f t="shared" si="4"/>
        <v>93</v>
      </c>
      <c r="P83" s="9">
        <f t="shared" si="6"/>
        <v>123</v>
      </c>
      <c r="Q83" s="9">
        <f t="shared" ref="Q83:R83" si="81">average(L77:L83)</f>
        <v>98.77142857</v>
      </c>
      <c r="R83" s="9">
        <f t="shared" si="81"/>
        <v>68.04692354</v>
      </c>
      <c r="S83" s="11">
        <v>51.96</v>
      </c>
      <c r="T83" s="11">
        <v>48.6175</v>
      </c>
      <c r="U83" s="12">
        <v>4.46</v>
      </c>
      <c r="V83" s="12">
        <v>5890.0</v>
      </c>
      <c r="W83" s="12">
        <v>19.0</v>
      </c>
      <c r="X83" s="8">
        <v>11797.0</v>
      </c>
      <c r="Y83" s="8">
        <v>843.0</v>
      </c>
      <c r="Z83" s="8">
        <v>892.0</v>
      </c>
      <c r="AA83" s="8">
        <v>5.188</v>
      </c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 ht="15.75" customHeight="1">
      <c r="A84" s="6">
        <v>83.0</v>
      </c>
      <c r="B84" s="7">
        <v>49392.0</v>
      </c>
      <c r="C84" s="8">
        <v>39.5</v>
      </c>
      <c r="D84" s="8">
        <v>89.9</v>
      </c>
      <c r="E84" s="8">
        <v>82.3</v>
      </c>
      <c r="F84" s="8">
        <v>39.5</v>
      </c>
      <c r="G84" s="8">
        <v>89.9</v>
      </c>
      <c r="H84" s="8">
        <v>82.3</v>
      </c>
      <c r="I84" s="8">
        <v>24.0</v>
      </c>
      <c r="J84" s="8">
        <v>29.4</v>
      </c>
      <c r="K84" s="8">
        <v>83.5</v>
      </c>
      <c r="L84" s="9">
        <f t="shared" si="1"/>
        <v>103</v>
      </c>
      <c r="M84" s="9">
        <f t="shared" si="2"/>
        <v>64.342043</v>
      </c>
      <c r="N84" s="9">
        <f t="shared" si="3"/>
        <v>89</v>
      </c>
      <c r="O84" s="9">
        <f t="shared" si="4"/>
        <v>119</v>
      </c>
      <c r="P84" s="9">
        <f t="shared" si="6"/>
        <v>100</v>
      </c>
      <c r="Q84" s="9">
        <f t="shared" ref="Q84:R84" si="82">average(L78:L84)</f>
        <v>95.91428571</v>
      </c>
      <c r="R84" s="9">
        <f t="shared" si="82"/>
        <v>64.64396683</v>
      </c>
      <c r="S84" s="11">
        <v>51.04</v>
      </c>
      <c r="T84" s="11">
        <v>48.519999999999996</v>
      </c>
      <c r="U84" s="12">
        <v>4.68</v>
      </c>
      <c r="V84" s="12">
        <v>6248.2</v>
      </c>
      <c r="W84" s="12">
        <v>19.0</v>
      </c>
      <c r="X84" s="8">
        <v>11959.0</v>
      </c>
      <c r="Y84" s="8">
        <v>924.0</v>
      </c>
      <c r="Z84" s="8">
        <v>918.0</v>
      </c>
      <c r="AA84" s="8">
        <v>5.192</v>
      </c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 ht="15.75" customHeight="1">
      <c r="A85" s="6">
        <v>84.0</v>
      </c>
      <c r="B85" s="7">
        <v>49393.0</v>
      </c>
      <c r="C85" s="8">
        <v>49.3</v>
      </c>
      <c r="D85" s="8">
        <v>89.9</v>
      </c>
      <c r="E85" s="8">
        <v>80.5</v>
      </c>
      <c r="F85" s="8">
        <v>49.3</v>
      </c>
      <c r="G85" s="8">
        <v>89.9</v>
      </c>
      <c r="H85" s="8">
        <v>80.5</v>
      </c>
      <c r="I85" s="8">
        <v>10.0</v>
      </c>
      <c r="J85" s="8">
        <v>29.7</v>
      </c>
      <c r="K85" s="8">
        <v>83.0</v>
      </c>
      <c r="L85" s="9">
        <f t="shared" si="1"/>
        <v>108.6</v>
      </c>
      <c r="M85" s="9">
        <f t="shared" si="2"/>
        <v>73.821427</v>
      </c>
      <c r="N85" s="9">
        <f t="shared" si="3"/>
        <v>103</v>
      </c>
      <c r="O85" s="9">
        <f t="shared" si="4"/>
        <v>89</v>
      </c>
      <c r="P85" s="9">
        <f t="shared" si="6"/>
        <v>51.2</v>
      </c>
      <c r="Q85" s="9">
        <f t="shared" ref="Q85:R85" si="83">average(L79:L85)</f>
        <v>97.14285714</v>
      </c>
      <c r="R85" s="9">
        <f t="shared" si="83"/>
        <v>63.94931354</v>
      </c>
      <c r="S85" s="11">
        <v>50.6</v>
      </c>
      <c r="T85" s="11">
        <v>48.9775</v>
      </c>
      <c r="U85" s="12">
        <v>3.52</v>
      </c>
      <c r="V85" s="12">
        <v>6209.4</v>
      </c>
      <c r="W85" s="12">
        <v>19.0</v>
      </c>
      <c r="X85" s="8">
        <v>12957.0</v>
      </c>
      <c r="Y85" s="8">
        <v>907.0</v>
      </c>
      <c r="Z85" s="8">
        <v>982.0</v>
      </c>
      <c r="AA85" s="8">
        <v>5.415</v>
      </c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 ht="15.75" customHeight="1">
      <c r="A86" s="6">
        <v>85.0</v>
      </c>
      <c r="B86" s="7">
        <v>49394.0</v>
      </c>
      <c r="C86" s="8">
        <v>29.4</v>
      </c>
      <c r="D86" s="8">
        <v>92.6</v>
      </c>
      <c r="E86" s="8">
        <v>82.3</v>
      </c>
      <c r="F86" s="8">
        <v>29.4</v>
      </c>
      <c r="G86" s="8">
        <v>92.6</v>
      </c>
      <c r="H86" s="8">
        <v>82.3</v>
      </c>
      <c r="I86" s="8">
        <v>24.0</v>
      </c>
      <c r="J86" s="8">
        <v>29.8</v>
      </c>
      <c r="K86" s="8">
        <v>74.7</v>
      </c>
      <c r="L86" s="9">
        <f t="shared" si="1"/>
        <v>82.8</v>
      </c>
      <c r="M86" s="9">
        <f t="shared" si="2"/>
        <v>50.1539064</v>
      </c>
      <c r="N86" s="9">
        <f t="shared" si="3"/>
        <v>108.6</v>
      </c>
      <c r="O86" s="9">
        <f t="shared" si="4"/>
        <v>103</v>
      </c>
      <c r="P86" s="9">
        <f t="shared" si="6"/>
        <v>116.2</v>
      </c>
      <c r="Q86" s="9">
        <f t="shared" ref="Q86:R86" si="84">average(L80:L86)</f>
        <v>101.6571429</v>
      </c>
      <c r="R86" s="9">
        <f t="shared" si="84"/>
        <v>65.97145034</v>
      </c>
      <c r="S86" s="11">
        <v>49.95</v>
      </c>
      <c r="T86" s="11">
        <v>49.03</v>
      </c>
      <c r="U86" s="12">
        <v>4.0</v>
      </c>
      <c r="V86" s="12">
        <v>6190.1</v>
      </c>
      <c r="W86" s="12">
        <v>18.0</v>
      </c>
      <c r="X86" s="8">
        <v>13023.0</v>
      </c>
      <c r="Y86" s="8">
        <v>916.0</v>
      </c>
      <c r="Z86" s="8">
        <v>992.0</v>
      </c>
      <c r="AA86" s="8">
        <v>5.445</v>
      </c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 ht="15.75" customHeight="1">
      <c r="A87" s="6">
        <v>86.0</v>
      </c>
      <c r="B87" s="7">
        <v>49395.0</v>
      </c>
      <c r="C87" s="8">
        <v>71.4</v>
      </c>
      <c r="D87" s="8">
        <v>91.4</v>
      </c>
      <c r="E87" s="8">
        <v>84.3</v>
      </c>
      <c r="F87" s="8">
        <v>71.4</v>
      </c>
      <c r="G87" s="8">
        <v>91.4</v>
      </c>
      <c r="H87" s="8">
        <v>84.3</v>
      </c>
      <c r="I87" s="8">
        <v>24.0</v>
      </c>
      <c r="J87" s="8">
        <v>26.7</v>
      </c>
      <c r="K87" s="8">
        <v>83.1</v>
      </c>
      <c r="L87" s="9">
        <f t="shared" si="1"/>
        <v>166.8</v>
      </c>
      <c r="M87" s="9">
        <f t="shared" si="2"/>
        <v>115.3527336</v>
      </c>
      <c r="N87" s="9">
        <f t="shared" si="3"/>
        <v>82.8</v>
      </c>
      <c r="O87" s="9">
        <f t="shared" si="4"/>
        <v>108.6</v>
      </c>
      <c r="P87" s="9">
        <f t="shared" si="6"/>
        <v>93</v>
      </c>
      <c r="Q87" s="9">
        <f t="shared" ref="Q87:R87" si="85">average(L81:L87)</f>
        <v>108.8857143</v>
      </c>
      <c r="R87" s="9">
        <f t="shared" si="85"/>
        <v>70.444132</v>
      </c>
      <c r="S87" s="11">
        <v>49.84</v>
      </c>
      <c r="T87" s="11">
        <v>48.980000000000004</v>
      </c>
      <c r="U87" s="12">
        <v>2.24</v>
      </c>
      <c r="V87" s="12">
        <v>6451.6</v>
      </c>
      <c r="W87" s="12">
        <v>27.0</v>
      </c>
      <c r="X87" s="8">
        <v>11919.0</v>
      </c>
      <c r="Y87" s="8">
        <v>624.0</v>
      </c>
      <c r="Z87" s="8">
        <v>664.0</v>
      </c>
      <c r="AA87" s="8">
        <v>4.745</v>
      </c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 ht="15.75" customHeight="1">
      <c r="A88" s="6">
        <v>87.0</v>
      </c>
      <c r="B88" s="7">
        <v>49396.0</v>
      </c>
      <c r="C88" s="8">
        <v>60.7</v>
      </c>
      <c r="D88" s="8">
        <v>86.3</v>
      </c>
      <c r="E88" s="8">
        <v>83.4</v>
      </c>
      <c r="F88" s="8">
        <v>60.7</v>
      </c>
      <c r="G88" s="8">
        <v>86.3</v>
      </c>
      <c r="H88" s="8">
        <v>83.4</v>
      </c>
      <c r="I88" s="8">
        <v>24.0</v>
      </c>
      <c r="J88" s="8">
        <v>21.4</v>
      </c>
      <c r="K88" s="8">
        <v>80.6</v>
      </c>
      <c r="L88" s="9">
        <f t="shared" si="1"/>
        <v>145.4</v>
      </c>
      <c r="M88" s="9">
        <f t="shared" si="2"/>
        <v>91.5162948</v>
      </c>
      <c r="N88" s="9">
        <f t="shared" si="3"/>
        <v>166.8</v>
      </c>
      <c r="O88" s="9">
        <f t="shared" si="4"/>
        <v>82.8</v>
      </c>
      <c r="P88" s="9">
        <f t="shared" si="6"/>
        <v>119</v>
      </c>
      <c r="Q88" s="9">
        <f t="shared" ref="Q88:R88" si="86">average(L82:L88)</f>
        <v>116.3714286</v>
      </c>
      <c r="R88" s="9">
        <f t="shared" si="86"/>
        <v>74.21685897</v>
      </c>
      <c r="S88" s="11">
        <v>49.13</v>
      </c>
      <c r="T88" s="11">
        <v>48.7</v>
      </c>
      <c r="U88" s="12">
        <v>2.76</v>
      </c>
      <c r="V88" s="12">
        <v>6354.7</v>
      </c>
      <c r="W88" s="12">
        <v>23.0</v>
      </c>
      <c r="X88" s="8">
        <v>11240.0</v>
      </c>
      <c r="Y88" s="8">
        <v>732.0</v>
      </c>
      <c r="Z88" s="8">
        <v>809.0</v>
      </c>
      <c r="AA88" s="8">
        <v>4.763</v>
      </c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 ht="15.75" customHeight="1">
      <c r="A89" s="6">
        <v>88.0</v>
      </c>
      <c r="B89" s="7">
        <v>49397.0</v>
      </c>
      <c r="C89" s="8">
        <v>54.7</v>
      </c>
      <c r="D89" s="8">
        <v>90.5</v>
      </c>
      <c r="E89" s="8">
        <v>83.4</v>
      </c>
      <c r="F89" s="8">
        <v>54.7</v>
      </c>
      <c r="G89" s="8">
        <v>90.5</v>
      </c>
      <c r="H89" s="8">
        <v>83.4</v>
      </c>
      <c r="I89" s="8">
        <v>33.0</v>
      </c>
      <c r="J89" s="8">
        <v>26.2</v>
      </c>
      <c r="K89" s="8">
        <v>82.0</v>
      </c>
      <c r="L89" s="9">
        <f t="shared" si="1"/>
        <v>142.4</v>
      </c>
      <c r="M89" s="9">
        <f t="shared" si="2"/>
        <v>89.661558</v>
      </c>
      <c r="N89" s="9">
        <f t="shared" si="3"/>
        <v>145.4</v>
      </c>
      <c r="O89" s="9">
        <f t="shared" si="4"/>
        <v>166.8</v>
      </c>
      <c r="P89" s="9">
        <f t="shared" si="6"/>
        <v>89</v>
      </c>
      <c r="Q89" s="9">
        <f t="shared" ref="Q89:R89" si="87">average(L83:L89)</f>
        <v>119.7142857</v>
      </c>
      <c r="R89" s="9">
        <f t="shared" si="87"/>
        <v>75.78618269</v>
      </c>
      <c r="S89" s="11">
        <v>49.68</v>
      </c>
      <c r="T89" s="11">
        <v>48.69</v>
      </c>
      <c r="U89" s="12">
        <v>3.12</v>
      </c>
      <c r="V89" s="12">
        <v>5793.3</v>
      </c>
      <c r="W89" s="12">
        <v>23.0</v>
      </c>
      <c r="X89" s="8">
        <v>9970.0</v>
      </c>
      <c r="Y89" s="8">
        <v>732.0</v>
      </c>
      <c r="Z89" s="8">
        <v>814.0</v>
      </c>
      <c r="AA89" s="8">
        <v>4.559</v>
      </c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 ht="15.75" customHeight="1">
      <c r="A90" s="6">
        <v>89.0</v>
      </c>
      <c r="B90" s="7">
        <v>49398.0</v>
      </c>
      <c r="C90" s="8">
        <v>42.0</v>
      </c>
      <c r="D90" s="8">
        <v>90.5</v>
      </c>
      <c r="E90" s="8">
        <v>83.4</v>
      </c>
      <c r="F90" s="8">
        <v>42.0</v>
      </c>
      <c r="G90" s="8">
        <v>90.5</v>
      </c>
      <c r="H90" s="8">
        <v>83.4</v>
      </c>
      <c r="I90" s="8">
        <v>68.0</v>
      </c>
      <c r="J90" s="8">
        <v>27.9</v>
      </c>
      <c r="K90" s="8">
        <v>82.5</v>
      </c>
      <c r="L90" s="9">
        <f t="shared" si="1"/>
        <v>152</v>
      </c>
      <c r="M90" s="9">
        <f t="shared" si="2"/>
        <v>79.05258</v>
      </c>
      <c r="N90" s="9">
        <f t="shared" si="3"/>
        <v>142.4</v>
      </c>
      <c r="O90" s="9">
        <f t="shared" si="4"/>
        <v>145.4</v>
      </c>
      <c r="P90" s="9">
        <f t="shared" si="6"/>
        <v>103</v>
      </c>
      <c r="Q90" s="9">
        <f t="shared" ref="Q90:R90" si="88">average(L84:L90)</f>
        <v>128.7142857</v>
      </c>
      <c r="R90" s="9">
        <f t="shared" si="88"/>
        <v>80.5572204</v>
      </c>
      <c r="S90" s="11">
        <v>49.65</v>
      </c>
      <c r="T90" s="11">
        <v>48.6875</v>
      </c>
      <c r="U90" s="12">
        <v>4.18</v>
      </c>
      <c r="V90" s="12">
        <v>7090.7</v>
      </c>
      <c r="W90" s="12">
        <v>20.0</v>
      </c>
      <c r="X90" s="8">
        <v>11989.0</v>
      </c>
      <c r="Y90" s="8">
        <v>827.0</v>
      </c>
      <c r="Z90" s="8">
        <v>888.0</v>
      </c>
      <c r="AA90" s="8">
        <v>4.941</v>
      </c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 ht="15.75" customHeight="1">
      <c r="A91" s="6">
        <v>90.0</v>
      </c>
      <c r="B91" s="7">
        <v>49399.0</v>
      </c>
      <c r="C91" s="8">
        <v>49.0</v>
      </c>
      <c r="D91" s="8">
        <v>89.8</v>
      </c>
      <c r="E91" s="8">
        <v>84.8</v>
      </c>
      <c r="F91" s="8">
        <v>49.0</v>
      </c>
      <c r="G91" s="8">
        <v>89.8</v>
      </c>
      <c r="H91" s="8">
        <v>84.8</v>
      </c>
      <c r="I91" s="8">
        <v>91.0</v>
      </c>
      <c r="J91" s="8">
        <v>27.1</v>
      </c>
      <c r="K91" s="8">
        <v>81.8</v>
      </c>
      <c r="L91" s="9">
        <f t="shared" si="1"/>
        <v>189</v>
      </c>
      <c r="M91" s="9">
        <f t="shared" si="2"/>
        <v>94.80009</v>
      </c>
      <c r="N91" s="9">
        <f t="shared" si="3"/>
        <v>152</v>
      </c>
      <c r="O91" s="9">
        <f t="shared" si="4"/>
        <v>142.4</v>
      </c>
      <c r="P91" s="9">
        <f t="shared" si="6"/>
        <v>108.6</v>
      </c>
      <c r="Q91" s="9">
        <f t="shared" ref="Q91:R91" si="89">average(L85:L91)</f>
        <v>141</v>
      </c>
      <c r="R91" s="9">
        <f t="shared" si="89"/>
        <v>84.90836997</v>
      </c>
      <c r="S91" s="11">
        <v>49.15</v>
      </c>
      <c r="T91" s="11">
        <v>48.8075</v>
      </c>
      <c r="U91" s="12">
        <v>4.05</v>
      </c>
      <c r="V91" s="12">
        <v>7146.0</v>
      </c>
      <c r="W91" s="12">
        <v>20.0</v>
      </c>
      <c r="X91" s="8">
        <v>12078.0</v>
      </c>
      <c r="Y91" s="8">
        <v>862.0</v>
      </c>
      <c r="Z91" s="8">
        <v>824.0</v>
      </c>
      <c r="AA91" s="8">
        <v>5.464</v>
      </c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 ht="15.75" customHeight="1">
      <c r="A92" s="6">
        <v>91.0</v>
      </c>
      <c r="B92" s="7">
        <v>49400.0</v>
      </c>
      <c r="C92" s="8">
        <v>23.1</v>
      </c>
      <c r="D92" s="8">
        <v>85.7</v>
      </c>
      <c r="E92" s="8">
        <v>78.5</v>
      </c>
      <c r="F92" s="8">
        <v>23.1</v>
      </c>
      <c r="G92" s="8">
        <v>85.7</v>
      </c>
      <c r="H92" s="8">
        <v>78.5</v>
      </c>
      <c r="I92" s="8">
        <v>17.0</v>
      </c>
      <c r="J92" s="8">
        <v>21.9</v>
      </c>
      <c r="K92" s="8">
        <v>81.5</v>
      </c>
      <c r="L92" s="9">
        <f t="shared" si="1"/>
        <v>63.2</v>
      </c>
      <c r="M92" s="9">
        <f t="shared" si="2"/>
        <v>34.115064</v>
      </c>
      <c r="N92" s="9">
        <f t="shared" si="3"/>
        <v>189</v>
      </c>
      <c r="O92" s="9">
        <f t="shared" si="4"/>
        <v>152</v>
      </c>
      <c r="P92" s="9">
        <f t="shared" si="6"/>
        <v>82.8</v>
      </c>
      <c r="Q92" s="9">
        <f t="shared" ref="Q92:R92" si="90">average(L86:L92)</f>
        <v>134.5142857</v>
      </c>
      <c r="R92" s="9">
        <f t="shared" si="90"/>
        <v>79.2360324</v>
      </c>
      <c r="S92" s="11">
        <v>49.17</v>
      </c>
      <c r="T92" s="11">
        <v>48.49</v>
      </c>
      <c r="U92" s="12">
        <v>1.38</v>
      </c>
      <c r="V92" s="12">
        <v>7588.7</v>
      </c>
      <c r="W92" s="12">
        <v>52.0</v>
      </c>
      <c r="X92" s="8">
        <v>11741.0</v>
      </c>
      <c r="Y92" s="8">
        <v>325.0</v>
      </c>
      <c r="Z92" s="8">
        <v>432.0</v>
      </c>
      <c r="AA92" s="8">
        <v>2.327</v>
      </c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 ht="15.75" customHeight="1">
      <c r="A93" s="6">
        <v>92.0</v>
      </c>
      <c r="B93" s="7">
        <v>49401.0</v>
      </c>
      <c r="C93" s="8">
        <v>30.0</v>
      </c>
      <c r="D93" s="8">
        <v>84.2</v>
      </c>
      <c r="E93" s="8">
        <v>77.4</v>
      </c>
      <c r="F93" s="8">
        <v>30.0</v>
      </c>
      <c r="G93" s="8">
        <v>84.2</v>
      </c>
      <c r="H93" s="8">
        <v>77.4</v>
      </c>
      <c r="I93" s="8">
        <v>34.0</v>
      </c>
      <c r="J93" s="8">
        <v>21.6</v>
      </c>
      <c r="K93" s="8">
        <v>82.3</v>
      </c>
      <c r="L93" s="9">
        <f t="shared" si="1"/>
        <v>94</v>
      </c>
      <c r="M93" s="9">
        <f t="shared" si="2"/>
        <v>45.146592</v>
      </c>
      <c r="N93" s="9">
        <f t="shared" si="3"/>
        <v>63.2</v>
      </c>
      <c r="O93" s="9">
        <f t="shared" si="4"/>
        <v>189</v>
      </c>
      <c r="P93" s="9">
        <f t="shared" si="6"/>
        <v>166.8</v>
      </c>
      <c r="Q93" s="9">
        <f t="shared" ref="Q93:R93" si="91">average(L87:L93)</f>
        <v>136.1142857</v>
      </c>
      <c r="R93" s="9">
        <f t="shared" si="91"/>
        <v>78.52070177</v>
      </c>
      <c r="S93" s="11">
        <v>47.78</v>
      </c>
      <c r="T93" s="11">
        <v>48.535</v>
      </c>
      <c r="U93" s="12">
        <v>1.91</v>
      </c>
      <c r="V93" s="12">
        <v>7948.3</v>
      </c>
      <c r="W93" s="12">
        <v>36.0</v>
      </c>
      <c r="X93" s="8">
        <v>15930.0</v>
      </c>
      <c r="Y93" s="8">
        <v>366.0</v>
      </c>
      <c r="Z93" s="8">
        <v>523.0</v>
      </c>
      <c r="AA93" s="8">
        <v>4.809</v>
      </c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 ht="15.75" customHeight="1">
      <c r="A94" s="6">
        <v>93.0</v>
      </c>
      <c r="B94" s="7">
        <v>49402.0</v>
      </c>
      <c r="C94" s="8">
        <v>31.8</v>
      </c>
      <c r="D94" s="8">
        <v>81.6</v>
      </c>
      <c r="E94" s="8">
        <v>80.9</v>
      </c>
      <c r="F94" s="8">
        <v>31.8</v>
      </c>
      <c r="G94" s="8">
        <v>81.6</v>
      </c>
      <c r="H94" s="8">
        <v>80.9</v>
      </c>
      <c r="I94" s="8">
        <v>51.0</v>
      </c>
      <c r="J94" s="8">
        <v>18.5</v>
      </c>
      <c r="K94" s="8">
        <v>76.5</v>
      </c>
      <c r="L94" s="9">
        <f t="shared" si="1"/>
        <v>114.6</v>
      </c>
      <c r="M94" s="9">
        <f t="shared" si="2"/>
        <v>49.2029334</v>
      </c>
      <c r="N94" s="9">
        <f t="shared" si="3"/>
        <v>94</v>
      </c>
      <c r="O94" s="9">
        <f t="shared" si="4"/>
        <v>63.2</v>
      </c>
      <c r="P94" s="9">
        <f t="shared" si="6"/>
        <v>145.4</v>
      </c>
      <c r="Q94" s="9">
        <f t="shared" ref="Q94:R94" si="92">average(L88:L94)</f>
        <v>128.6571429</v>
      </c>
      <c r="R94" s="9">
        <f t="shared" si="92"/>
        <v>69.07073031</v>
      </c>
      <c r="S94" s="11">
        <v>48.26</v>
      </c>
      <c r="T94" s="11">
        <v>48.305</v>
      </c>
      <c r="U94" s="12">
        <v>2.46</v>
      </c>
      <c r="V94" s="12">
        <v>8667.7</v>
      </c>
      <c r="W94" s="12">
        <v>27.0</v>
      </c>
      <c r="X94" s="8">
        <v>9165.0</v>
      </c>
      <c r="Y94" s="8">
        <v>551.0</v>
      </c>
      <c r="Z94" s="8">
        <v>599.0</v>
      </c>
      <c r="AA94" s="8">
        <v>4.064</v>
      </c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ht="15.75" customHeight="1">
      <c r="A95" s="6">
        <v>94.0</v>
      </c>
      <c r="B95" s="7">
        <v>49403.0</v>
      </c>
      <c r="C95" s="8">
        <v>30.4</v>
      </c>
      <c r="D95" s="8">
        <v>35.7</v>
      </c>
      <c r="E95" s="8">
        <v>81.4</v>
      </c>
      <c r="F95" s="8">
        <v>30.4</v>
      </c>
      <c r="G95" s="8">
        <v>35.7</v>
      </c>
      <c r="H95" s="8">
        <v>81.4</v>
      </c>
      <c r="I95" s="8">
        <v>9.0</v>
      </c>
      <c r="J95" s="8">
        <v>20.3</v>
      </c>
      <c r="K95" s="8">
        <v>80.3</v>
      </c>
      <c r="L95" s="9">
        <f t="shared" si="1"/>
        <v>69.8</v>
      </c>
      <c r="M95" s="9">
        <f t="shared" si="2"/>
        <v>19.1354394</v>
      </c>
      <c r="N95" s="9">
        <f t="shared" si="3"/>
        <v>114.6</v>
      </c>
      <c r="O95" s="9">
        <f t="shared" si="4"/>
        <v>94</v>
      </c>
      <c r="P95" s="9">
        <f t="shared" si="6"/>
        <v>142.4</v>
      </c>
      <c r="Q95" s="9">
        <f t="shared" ref="Q95:R95" si="93">average(L89:L95)</f>
        <v>117.8571429</v>
      </c>
      <c r="R95" s="9">
        <f t="shared" si="93"/>
        <v>58.73060811</v>
      </c>
      <c r="S95" s="11">
        <v>48.51</v>
      </c>
      <c r="T95" s="11">
        <v>48.21000000000001</v>
      </c>
      <c r="U95" s="12">
        <v>2.18</v>
      </c>
      <c r="V95" s="12">
        <v>8944.3</v>
      </c>
      <c r="W95" s="12">
        <v>29.0</v>
      </c>
      <c r="X95" s="8">
        <v>8460.0</v>
      </c>
      <c r="Y95" s="8">
        <v>591.0</v>
      </c>
      <c r="Z95" s="8">
        <v>642.0</v>
      </c>
      <c r="AA95" s="8">
        <v>3.74</v>
      </c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ht="15.75" customHeight="1">
      <c r="A96" s="6">
        <v>95.0</v>
      </c>
      <c r="B96" s="7">
        <v>49404.0</v>
      </c>
      <c r="C96" s="8">
        <v>42.7</v>
      </c>
      <c r="D96" s="8">
        <v>62.0</v>
      </c>
      <c r="E96" s="8">
        <v>77.3</v>
      </c>
      <c r="F96" s="8">
        <v>42.7</v>
      </c>
      <c r="G96" s="8">
        <v>62.0</v>
      </c>
      <c r="H96" s="8">
        <v>77.3</v>
      </c>
      <c r="I96" s="8">
        <v>9.0</v>
      </c>
      <c r="J96" s="8">
        <v>19.3</v>
      </c>
      <c r="K96" s="8">
        <v>80.4</v>
      </c>
      <c r="L96" s="9">
        <f t="shared" si="1"/>
        <v>94.4</v>
      </c>
      <c r="M96" s="9">
        <f t="shared" si="2"/>
        <v>42.325352</v>
      </c>
      <c r="N96" s="9">
        <f t="shared" si="3"/>
        <v>69.8</v>
      </c>
      <c r="O96" s="9">
        <f t="shared" si="4"/>
        <v>114.6</v>
      </c>
      <c r="P96" s="9">
        <f t="shared" si="6"/>
        <v>152</v>
      </c>
      <c r="Q96" s="9">
        <f t="shared" ref="Q96:R96" si="94">average(L90:L96)</f>
        <v>111</v>
      </c>
      <c r="R96" s="9">
        <f t="shared" si="94"/>
        <v>51.96829297</v>
      </c>
      <c r="S96" s="11">
        <v>48.46</v>
      </c>
      <c r="T96" s="11">
        <v>48.11</v>
      </c>
      <c r="U96" s="12">
        <v>2.91</v>
      </c>
      <c r="V96" s="12">
        <v>9248.7</v>
      </c>
      <c r="W96" s="12">
        <v>24.0</v>
      </c>
      <c r="X96" s="8">
        <v>8970.0</v>
      </c>
      <c r="Y96" s="8">
        <v>712.0</v>
      </c>
      <c r="Z96" s="8">
        <v>651.0</v>
      </c>
      <c r="AA96" s="8">
        <v>3.725</v>
      </c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 ht="15.75" customHeight="1">
      <c r="A97" s="6">
        <v>96.0</v>
      </c>
      <c r="B97" s="7">
        <v>49405.0</v>
      </c>
      <c r="C97" s="8">
        <v>33.3</v>
      </c>
      <c r="D97" s="8">
        <v>69.8</v>
      </c>
      <c r="E97" s="8">
        <v>79.1</v>
      </c>
      <c r="F97" s="8">
        <v>33.3</v>
      </c>
      <c r="G97" s="8">
        <v>69.8</v>
      </c>
      <c r="H97" s="8">
        <v>79.1</v>
      </c>
      <c r="I97" s="8">
        <v>11.0</v>
      </c>
      <c r="J97" s="8">
        <v>16.9</v>
      </c>
      <c r="K97" s="8">
        <v>79.3</v>
      </c>
      <c r="L97" s="9">
        <f t="shared" si="1"/>
        <v>77.6</v>
      </c>
      <c r="M97" s="9">
        <f t="shared" si="2"/>
        <v>38.2452458</v>
      </c>
      <c r="N97" s="9">
        <f t="shared" si="3"/>
        <v>94.4</v>
      </c>
      <c r="O97" s="9">
        <f t="shared" si="4"/>
        <v>69.8</v>
      </c>
      <c r="P97" s="9">
        <f t="shared" si="6"/>
        <v>189</v>
      </c>
      <c r="Q97" s="9">
        <f t="shared" ref="Q97:R97" si="95">average(L91:L97)</f>
        <v>100.3714286</v>
      </c>
      <c r="R97" s="9">
        <f t="shared" si="95"/>
        <v>46.1386738</v>
      </c>
      <c r="S97" s="11">
        <v>48.37</v>
      </c>
      <c r="T97" s="11">
        <v>48.3175</v>
      </c>
      <c r="U97" s="12">
        <v>2.33</v>
      </c>
      <c r="V97" s="12">
        <v>10023.3</v>
      </c>
      <c r="W97" s="12">
        <v>27.0</v>
      </c>
      <c r="X97" s="8">
        <v>8572.0</v>
      </c>
      <c r="Y97" s="8">
        <v>615.0</v>
      </c>
      <c r="Z97" s="8">
        <v>500.0</v>
      </c>
      <c r="AA97" s="8">
        <v>3.633</v>
      </c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 ht="15.75" customHeight="1">
      <c r="A98" s="6">
        <v>97.0</v>
      </c>
      <c r="B98" s="7">
        <v>49406.0</v>
      </c>
      <c r="C98" s="8">
        <v>30.6</v>
      </c>
      <c r="D98" s="8">
        <v>92.1</v>
      </c>
      <c r="E98" s="8">
        <v>75.1</v>
      </c>
      <c r="F98" s="8">
        <v>30.6</v>
      </c>
      <c r="G98" s="8">
        <v>92.1</v>
      </c>
      <c r="H98" s="8">
        <v>75.1</v>
      </c>
      <c r="I98" s="8">
        <v>9.0</v>
      </c>
      <c r="J98" s="8">
        <v>22.0</v>
      </c>
      <c r="K98" s="8">
        <v>73.8</v>
      </c>
      <c r="L98" s="9">
        <f t="shared" si="1"/>
        <v>70.2</v>
      </c>
      <c r="M98" s="9">
        <f t="shared" si="2"/>
        <v>43.7915052</v>
      </c>
      <c r="N98" s="9">
        <f t="shared" si="3"/>
        <v>77.6</v>
      </c>
      <c r="O98" s="9">
        <f t="shared" si="4"/>
        <v>94.4</v>
      </c>
      <c r="P98" s="9">
        <f t="shared" si="6"/>
        <v>63.2</v>
      </c>
      <c r="Q98" s="9">
        <f t="shared" ref="Q98:R98" si="96">average(L92:L98)</f>
        <v>83.4</v>
      </c>
      <c r="R98" s="9">
        <f t="shared" si="96"/>
        <v>38.85173311</v>
      </c>
      <c r="S98" s="11">
        <v>48.62</v>
      </c>
      <c r="T98" s="11">
        <v>48.285</v>
      </c>
      <c r="U98" s="12">
        <v>1.07</v>
      </c>
      <c r="V98" s="12">
        <v>9138.0</v>
      </c>
      <c r="W98" s="12">
        <v>24.0</v>
      </c>
      <c r="X98" s="8">
        <v>7030.0</v>
      </c>
      <c r="Y98" s="8">
        <v>708.0</v>
      </c>
      <c r="Z98" s="8">
        <v>540.0</v>
      </c>
      <c r="AA98" s="8">
        <v>3.01</v>
      </c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 ht="15.75" customHeight="1">
      <c r="A99" s="6">
        <v>98.0</v>
      </c>
      <c r="B99" s="7">
        <v>49407.0</v>
      </c>
      <c r="C99" s="8">
        <v>28.8</v>
      </c>
      <c r="D99" s="8">
        <v>90.0</v>
      </c>
      <c r="E99" s="8">
        <v>86.1</v>
      </c>
      <c r="F99" s="8">
        <v>28.8</v>
      </c>
      <c r="G99" s="8">
        <v>90.0</v>
      </c>
      <c r="H99" s="8">
        <v>86.1</v>
      </c>
      <c r="I99" s="8">
        <v>9.0</v>
      </c>
      <c r="J99" s="8">
        <v>19.7</v>
      </c>
      <c r="K99" s="8">
        <v>80.1</v>
      </c>
      <c r="L99" s="9">
        <f t="shared" si="1"/>
        <v>66.6</v>
      </c>
      <c r="M99" s="9">
        <f t="shared" si="2"/>
        <v>46.054413</v>
      </c>
      <c r="N99" s="9">
        <f t="shared" si="3"/>
        <v>70.2</v>
      </c>
      <c r="O99" s="9">
        <f t="shared" si="4"/>
        <v>77.6</v>
      </c>
      <c r="P99" s="9">
        <f t="shared" si="6"/>
        <v>94</v>
      </c>
      <c r="Q99" s="9">
        <f t="shared" ref="Q99:R99" si="97">average(L93:L99)</f>
        <v>83.88571429</v>
      </c>
      <c r="R99" s="9">
        <f t="shared" si="97"/>
        <v>40.5573544</v>
      </c>
      <c r="S99" s="11">
        <v>49.19</v>
      </c>
      <c r="T99" s="11">
        <v>48.1225</v>
      </c>
      <c r="U99" s="12">
        <v>1.17</v>
      </c>
      <c r="V99" s="12">
        <v>699.7</v>
      </c>
      <c r="W99" s="12">
        <v>23.0</v>
      </c>
      <c r="X99" s="8">
        <v>6755.0</v>
      </c>
      <c r="Y99" s="8">
        <v>740.0</v>
      </c>
      <c r="Z99" s="8">
        <v>657.0</v>
      </c>
      <c r="AA99" s="8">
        <v>2.782</v>
      </c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 ht="15.75" customHeight="1">
      <c r="A100" s="6">
        <v>99.0</v>
      </c>
      <c r="B100" s="7">
        <v>49408.0</v>
      </c>
      <c r="C100" s="8">
        <v>36.8</v>
      </c>
      <c r="D100" s="8">
        <v>87.4</v>
      </c>
      <c r="E100" s="8">
        <v>78.2</v>
      </c>
      <c r="F100" s="8">
        <v>36.8</v>
      </c>
      <c r="G100" s="8">
        <v>87.4</v>
      </c>
      <c r="H100" s="8">
        <v>78.2</v>
      </c>
      <c r="I100" s="8">
        <v>9.0</v>
      </c>
      <c r="J100" s="8">
        <v>14.9</v>
      </c>
      <c r="K100" s="8">
        <v>88.6</v>
      </c>
      <c r="L100" s="9">
        <f t="shared" si="1"/>
        <v>82.6</v>
      </c>
      <c r="M100" s="9">
        <f t="shared" si="2"/>
        <v>51.4913708</v>
      </c>
      <c r="N100" s="9">
        <f t="shared" si="3"/>
        <v>66.6</v>
      </c>
      <c r="O100" s="9">
        <f t="shared" si="4"/>
        <v>70.2</v>
      </c>
      <c r="P100" s="9">
        <f t="shared" si="6"/>
        <v>114.6</v>
      </c>
      <c r="Q100" s="9">
        <f t="shared" ref="Q100:R100" si="98">average(L94:L100)</f>
        <v>82.25714286</v>
      </c>
      <c r="R100" s="9">
        <f t="shared" si="98"/>
        <v>41.46375137</v>
      </c>
      <c r="S100" s="11">
        <v>45.99</v>
      </c>
      <c r="T100" s="11">
        <v>47.235</v>
      </c>
      <c r="U100" s="12">
        <v>2.11</v>
      </c>
      <c r="V100" s="12">
        <v>755.0</v>
      </c>
      <c r="W100" s="12">
        <v>26.0</v>
      </c>
      <c r="X100" s="8">
        <v>7189.0</v>
      </c>
      <c r="Y100" s="8">
        <v>643.0</v>
      </c>
      <c r="Z100" s="8">
        <v>770.0</v>
      </c>
      <c r="AA100" s="8">
        <v>2.757</v>
      </c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 ht="15.75" customHeight="1">
      <c r="A101" s="6">
        <v>100.0</v>
      </c>
      <c r="B101" s="7">
        <v>49409.0</v>
      </c>
      <c r="C101" s="8">
        <v>49.6</v>
      </c>
      <c r="D101" s="8">
        <v>80.6</v>
      </c>
      <c r="E101" s="8">
        <v>78.9</v>
      </c>
      <c r="F101" s="8">
        <v>49.6</v>
      </c>
      <c r="G101" s="8">
        <v>80.6</v>
      </c>
      <c r="H101" s="8">
        <v>78.9</v>
      </c>
      <c r="I101" s="8">
        <v>9.0</v>
      </c>
      <c r="J101" s="8">
        <v>17.1</v>
      </c>
      <c r="K101" s="8">
        <v>81.2</v>
      </c>
      <c r="L101" s="9">
        <f t="shared" si="1"/>
        <v>108.2</v>
      </c>
      <c r="M101" s="9">
        <f t="shared" si="2"/>
        <v>64.3343208</v>
      </c>
      <c r="N101" s="9">
        <f t="shared" si="3"/>
        <v>82.6</v>
      </c>
      <c r="O101" s="9">
        <f t="shared" si="4"/>
        <v>66.6</v>
      </c>
      <c r="P101" s="9">
        <f t="shared" si="6"/>
        <v>69.8</v>
      </c>
      <c r="Q101" s="9">
        <f t="shared" ref="Q101:R101" si="99">average(L95:L101)</f>
        <v>81.34285714</v>
      </c>
      <c r="R101" s="9">
        <f t="shared" si="99"/>
        <v>43.62537814</v>
      </c>
      <c r="S101" s="11">
        <v>48.72</v>
      </c>
      <c r="T101" s="11">
        <v>48.0725</v>
      </c>
      <c r="U101" s="12">
        <v>2.84</v>
      </c>
      <c r="V101" s="12">
        <v>631.9</v>
      </c>
      <c r="W101" s="12">
        <v>22.0</v>
      </c>
      <c r="X101" s="8">
        <v>6960.0</v>
      </c>
      <c r="Y101" s="8">
        <v>774.0</v>
      </c>
      <c r="Z101" s="8">
        <v>880.0</v>
      </c>
      <c r="AA101" s="8">
        <v>2.682</v>
      </c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 ht="15.75" customHeight="1">
      <c r="A102" s="6">
        <v>101.0</v>
      </c>
      <c r="B102" s="7">
        <v>49410.0</v>
      </c>
      <c r="C102" s="8">
        <v>40.0</v>
      </c>
      <c r="D102" s="8">
        <v>83.9</v>
      </c>
      <c r="E102" s="8">
        <v>75.4</v>
      </c>
      <c r="F102" s="8">
        <v>40.0</v>
      </c>
      <c r="G102" s="8">
        <v>83.9</v>
      </c>
      <c r="H102" s="8">
        <v>75.4</v>
      </c>
      <c r="I102" s="8">
        <v>9.0</v>
      </c>
      <c r="J102" s="8">
        <v>19.5</v>
      </c>
      <c r="K102" s="8">
        <v>80.5</v>
      </c>
      <c r="L102" s="9">
        <f t="shared" si="1"/>
        <v>89</v>
      </c>
      <c r="M102" s="9">
        <f t="shared" si="2"/>
        <v>52.021255</v>
      </c>
      <c r="N102" s="9">
        <f t="shared" si="3"/>
        <v>108.2</v>
      </c>
      <c r="O102" s="9">
        <f t="shared" si="4"/>
        <v>82.6</v>
      </c>
      <c r="P102" s="9">
        <f t="shared" si="6"/>
        <v>94.4</v>
      </c>
      <c r="Q102" s="9">
        <f t="shared" ref="Q102:R102" si="100">average(L96:L102)</f>
        <v>84.08571429</v>
      </c>
      <c r="R102" s="9">
        <f t="shared" si="100"/>
        <v>48.3233518</v>
      </c>
      <c r="S102" s="11">
        <v>0.0</v>
      </c>
      <c r="T102" s="11">
        <v>0.0</v>
      </c>
      <c r="U102" s="12">
        <v>3.45</v>
      </c>
      <c r="V102" s="12">
        <v>602.8</v>
      </c>
      <c r="W102" s="12">
        <v>21.0</v>
      </c>
      <c r="X102" s="8">
        <v>6166.0</v>
      </c>
      <c r="Y102" s="8">
        <v>793.0</v>
      </c>
      <c r="Z102" s="8">
        <v>758.0</v>
      </c>
      <c r="AA102" s="8">
        <v>2.442</v>
      </c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 ht="15.75" customHeight="1">
      <c r="A103" s="6">
        <v>102.0</v>
      </c>
      <c r="B103" s="7">
        <v>49411.0</v>
      </c>
      <c r="C103" s="8">
        <v>26.7</v>
      </c>
      <c r="D103" s="8">
        <v>71.3</v>
      </c>
      <c r="E103" s="8">
        <v>72.3</v>
      </c>
      <c r="F103" s="8">
        <v>26.7</v>
      </c>
      <c r="G103" s="8">
        <v>71.3</v>
      </c>
      <c r="H103" s="8">
        <v>72.3</v>
      </c>
      <c r="I103" s="8">
        <v>9.0</v>
      </c>
      <c r="J103" s="8">
        <v>18.5</v>
      </c>
      <c r="K103" s="8">
        <v>79.5</v>
      </c>
      <c r="L103" s="9">
        <f t="shared" si="1"/>
        <v>62.4</v>
      </c>
      <c r="M103" s="9">
        <f t="shared" si="2"/>
        <v>28.8513216</v>
      </c>
      <c r="N103" s="9">
        <f t="shared" si="3"/>
        <v>89</v>
      </c>
      <c r="O103" s="9">
        <f t="shared" si="4"/>
        <v>108.2</v>
      </c>
      <c r="P103" s="9">
        <f t="shared" si="6"/>
        <v>77.6</v>
      </c>
      <c r="Q103" s="9">
        <f t="shared" ref="Q103:R103" si="101">average(L97:L103)</f>
        <v>79.51428571</v>
      </c>
      <c r="R103" s="9">
        <f t="shared" si="101"/>
        <v>46.39849031</v>
      </c>
      <c r="S103" s="11">
        <v>48.79</v>
      </c>
      <c r="T103" s="11">
        <v>48.432500000000005</v>
      </c>
      <c r="U103" s="12">
        <v>2.54</v>
      </c>
      <c r="V103" s="12">
        <v>544.7</v>
      </c>
      <c r="W103" s="12">
        <v>24.0</v>
      </c>
      <c r="X103" s="8">
        <v>8564.0</v>
      </c>
      <c r="Y103" s="8">
        <v>716.0</v>
      </c>
      <c r="Z103" s="8">
        <v>759.0</v>
      </c>
      <c r="AA103" s="8">
        <v>3.576</v>
      </c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 ht="15.75" customHeight="1">
      <c r="A104" s="6">
        <v>103.0</v>
      </c>
      <c r="B104" s="7">
        <v>49412.0</v>
      </c>
      <c r="C104" s="8">
        <v>33.2</v>
      </c>
      <c r="D104" s="8">
        <v>66.3</v>
      </c>
      <c r="E104" s="8">
        <v>78.0</v>
      </c>
      <c r="F104" s="8">
        <v>33.2</v>
      </c>
      <c r="G104" s="8">
        <v>66.3</v>
      </c>
      <c r="H104" s="8">
        <v>78.0</v>
      </c>
      <c r="I104" s="8">
        <v>9.0</v>
      </c>
      <c r="J104" s="8">
        <v>19.1</v>
      </c>
      <c r="K104" s="8">
        <v>80.4</v>
      </c>
      <c r="L104" s="9">
        <f t="shared" si="1"/>
        <v>75.4</v>
      </c>
      <c r="M104" s="9">
        <f t="shared" si="2"/>
        <v>35.720172</v>
      </c>
      <c r="N104" s="9">
        <f t="shared" si="3"/>
        <v>62.4</v>
      </c>
      <c r="O104" s="9">
        <f t="shared" si="4"/>
        <v>89</v>
      </c>
      <c r="P104" s="9">
        <f t="shared" si="6"/>
        <v>70.2</v>
      </c>
      <c r="Q104" s="9">
        <f t="shared" ref="Q104:R104" si="102">average(L98:L104)</f>
        <v>79.2</v>
      </c>
      <c r="R104" s="9">
        <f t="shared" si="102"/>
        <v>46.03776549</v>
      </c>
      <c r="S104" s="11">
        <v>49.21</v>
      </c>
      <c r="T104" s="11">
        <v>48.17</v>
      </c>
      <c r="U104" s="12">
        <v>1.8</v>
      </c>
      <c r="V104" s="12">
        <v>612.5</v>
      </c>
      <c r="W104" s="12">
        <v>30.0</v>
      </c>
      <c r="X104" s="8">
        <v>7937.0</v>
      </c>
      <c r="Y104" s="8">
        <v>564.0</v>
      </c>
      <c r="Z104" s="8">
        <v>664.0</v>
      </c>
      <c r="AA104" s="8">
        <v>3.225</v>
      </c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 ht="15.75" customHeight="1">
      <c r="A105" s="6">
        <v>104.0</v>
      </c>
      <c r="B105" s="7">
        <v>49413.0</v>
      </c>
      <c r="C105" s="8">
        <v>44.1</v>
      </c>
      <c r="D105" s="8">
        <v>52.4</v>
      </c>
      <c r="E105" s="8">
        <v>78.3</v>
      </c>
      <c r="F105" s="8">
        <v>44.1</v>
      </c>
      <c r="G105" s="8">
        <v>52.4</v>
      </c>
      <c r="H105" s="8">
        <v>78.3</v>
      </c>
      <c r="I105" s="8">
        <v>9.0</v>
      </c>
      <c r="J105" s="8">
        <v>20.0</v>
      </c>
      <c r="K105" s="8">
        <v>75.1</v>
      </c>
      <c r="L105" s="9">
        <f t="shared" si="1"/>
        <v>97.2</v>
      </c>
      <c r="M105" s="9">
        <f t="shared" si="2"/>
        <v>37.5395544</v>
      </c>
      <c r="N105" s="9">
        <f t="shared" si="3"/>
        <v>75.4</v>
      </c>
      <c r="O105" s="9">
        <f t="shared" si="4"/>
        <v>62.4</v>
      </c>
      <c r="P105" s="9">
        <f t="shared" si="6"/>
        <v>66.6</v>
      </c>
      <c r="Q105" s="9">
        <f t="shared" ref="Q105:R105" si="103">average(L99:L105)</f>
        <v>83.05714286</v>
      </c>
      <c r="R105" s="9">
        <f t="shared" si="103"/>
        <v>45.14462966</v>
      </c>
      <c r="S105" s="11">
        <v>48.8</v>
      </c>
      <c r="T105" s="11">
        <v>48.11</v>
      </c>
      <c r="U105" s="12">
        <v>2.03</v>
      </c>
      <c r="V105" s="12">
        <v>525.4</v>
      </c>
      <c r="W105" s="12">
        <v>24.0</v>
      </c>
      <c r="X105" s="8">
        <v>8146.0</v>
      </c>
      <c r="Y105" s="8">
        <v>715.0</v>
      </c>
      <c r="Z105" s="8">
        <v>801.0</v>
      </c>
      <c r="AA105" s="8">
        <v>3.339</v>
      </c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 ht="15.75" customHeight="1">
      <c r="A106" s="6">
        <v>105.0</v>
      </c>
      <c r="B106" s="7">
        <v>49414.0</v>
      </c>
      <c r="C106" s="8">
        <v>29.5</v>
      </c>
      <c r="D106" s="8">
        <v>66.9</v>
      </c>
      <c r="E106" s="8">
        <v>77.5</v>
      </c>
      <c r="F106" s="8">
        <v>29.5</v>
      </c>
      <c r="G106" s="8">
        <v>66.9</v>
      </c>
      <c r="H106" s="8">
        <v>77.5</v>
      </c>
      <c r="I106" s="8">
        <v>9.0</v>
      </c>
      <c r="J106" s="8">
        <v>20.6</v>
      </c>
      <c r="K106" s="8">
        <v>81.9</v>
      </c>
      <c r="L106" s="9">
        <f t="shared" si="1"/>
        <v>68</v>
      </c>
      <c r="M106" s="9">
        <f t="shared" si="2"/>
        <v>32.108451</v>
      </c>
      <c r="N106" s="9">
        <f t="shared" si="3"/>
        <v>97.2</v>
      </c>
      <c r="O106" s="9">
        <f t="shared" si="4"/>
        <v>75.4</v>
      </c>
      <c r="P106" s="9">
        <f t="shared" si="6"/>
        <v>82.6</v>
      </c>
      <c r="Q106" s="9">
        <f t="shared" ref="Q106:R106" si="104">average(L100:L106)</f>
        <v>83.25714286</v>
      </c>
      <c r="R106" s="9">
        <f t="shared" si="104"/>
        <v>43.15234937</v>
      </c>
      <c r="S106" s="11">
        <v>48.66</v>
      </c>
      <c r="T106" s="11">
        <v>48.1225</v>
      </c>
      <c r="U106" s="12">
        <v>3.01</v>
      </c>
      <c r="V106" s="12">
        <v>602.8</v>
      </c>
      <c r="W106" s="12">
        <v>23.0</v>
      </c>
      <c r="X106" s="8">
        <v>7873.0</v>
      </c>
      <c r="Y106" s="8">
        <v>719.0</v>
      </c>
      <c r="Z106" s="8">
        <v>868.0</v>
      </c>
      <c r="AA106" s="8">
        <v>3.138</v>
      </c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 ht="15.75" customHeight="1">
      <c r="A107" s="6">
        <v>106.0</v>
      </c>
      <c r="B107" s="7">
        <v>49415.0</v>
      </c>
      <c r="C107" s="8">
        <v>30.9</v>
      </c>
      <c r="D107" s="8">
        <v>90.3</v>
      </c>
      <c r="E107" s="8">
        <v>86.2</v>
      </c>
      <c r="F107" s="8">
        <v>30.9</v>
      </c>
      <c r="G107" s="8">
        <v>90.3</v>
      </c>
      <c r="H107" s="8">
        <v>86.2</v>
      </c>
      <c r="I107" s="8">
        <v>7.0</v>
      </c>
      <c r="J107" s="8">
        <v>19.8</v>
      </c>
      <c r="K107" s="8">
        <v>80.0</v>
      </c>
      <c r="L107" s="9">
        <f t="shared" si="1"/>
        <v>68.8</v>
      </c>
      <c r="M107" s="9">
        <f t="shared" si="2"/>
        <v>49.2130548</v>
      </c>
      <c r="N107" s="9">
        <f t="shared" si="3"/>
        <v>68</v>
      </c>
      <c r="O107" s="9">
        <f t="shared" si="4"/>
        <v>97.2</v>
      </c>
      <c r="P107" s="9">
        <f t="shared" si="6"/>
        <v>108.2</v>
      </c>
      <c r="Q107" s="9">
        <f t="shared" ref="Q107:R107" si="105">average(L101:L107)</f>
        <v>81.28571429</v>
      </c>
      <c r="R107" s="9">
        <f t="shared" si="105"/>
        <v>42.82687566</v>
      </c>
      <c r="S107" s="11">
        <v>0.0</v>
      </c>
      <c r="T107" s="11">
        <v>36.1025</v>
      </c>
      <c r="U107" s="12">
        <v>1.74</v>
      </c>
      <c r="V107" s="12">
        <v>583.5</v>
      </c>
      <c r="W107" s="12">
        <v>30.0</v>
      </c>
      <c r="X107" s="8">
        <v>7006.0</v>
      </c>
      <c r="Y107" s="8">
        <v>559.0</v>
      </c>
      <c r="Z107" s="8">
        <v>676.0</v>
      </c>
      <c r="AA107" s="8">
        <v>2.802</v>
      </c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 ht="15.75" customHeight="1">
      <c r="A108" s="6">
        <v>107.0</v>
      </c>
      <c r="B108" s="7">
        <v>49416.0</v>
      </c>
      <c r="C108" s="8">
        <v>49.0</v>
      </c>
      <c r="D108" s="8">
        <v>40.2</v>
      </c>
      <c r="E108" s="8">
        <v>77.2</v>
      </c>
      <c r="F108" s="8">
        <v>49.0</v>
      </c>
      <c r="G108" s="8">
        <v>40.2</v>
      </c>
      <c r="H108" s="8">
        <v>77.2</v>
      </c>
      <c r="I108" s="8">
        <v>51.0</v>
      </c>
      <c r="J108" s="8">
        <v>20.8</v>
      </c>
      <c r="K108" s="8">
        <v>80.5</v>
      </c>
      <c r="L108" s="9">
        <f t="shared" si="1"/>
        <v>149</v>
      </c>
      <c r="M108" s="9">
        <f t="shared" si="2"/>
        <v>38.953152</v>
      </c>
      <c r="N108" s="9">
        <f t="shared" si="3"/>
        <v>68.8</v>
      </c>
      <c r="O108" s="9">
        <f t="shared" si="4"/>
        <v>68</v>
      </c>
      <c r="P108" s="9">
        <f t="shared" si="6"/>
        <v>89</v>
      </c>
      <c r="Q108" s="9">
        <f t="shared" ref="Q108:R108" si="106">average(L102:L108)</f>
        <v>87.11428571</v>
      </c>
      <c r="R108" s="9">
        <f t="shared" si="106"/>
        <v>39.2009944</v>
      </c>
      <c r="S108" s="11">
        <v>47.85</v>
      </c>
      <c r="T108" s="11">
        <v>47.52499999999999</v>
      </c>
      <c r="U108" s="12">
        <v>2.53</v>
      </c>
      <c r="V108" s="12">
        <v>612.5</v>
      </c>
      <c r="W108" s="12">
        <v>22.0</v>
      </c>
      <c r="X108" s="8">
        <v>6898.0</v>
      </c>
      <c r="Y108" s="8">
        <v>768.0</v>
      </c>
      <c r="Z108" s="8">
        <v>923.0</v>
      </c>
      <c r="AA108" s="8">
        <v>2.746</v>
      </c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 ht="15.75" customHeight="1">
      <c r="A109" s="6">
        <v>108.0</v>
      </c>
      <c r="B109" s="7">
        <v>49417.0</v>
      </c>
      <c r="C109" s="8">
        <v>16.2</v>
      </c>
      <c r="D109" s="8">
        <v>63.2</v>
      </c>
      <c r="E109" s="8">
        <v>79.4</v>
      </c>
      <c r="F109" s="8">
        <v>16.2</v>
      </c>
      <c r="G109" s="8">
        <v>63.2</v>
      </c>
      <c r="H109" s="8">
        <v>79.4</v>
      </c>
      <c r="I109" s="8">
        <v>51.0</v>
      </c>
      <c r="J109" s="8">
        <v>24.1</v>
      </c>
      <c r="K109" s="8">
        <v>81.7</v>
      </c>
      <c r="L109" s="9">
        <f t="shared" si="1"/>
        <v>83.4</v>
      </c>
      <c r="M109" s="9">
        <f t="shared" si="2"/>
        <v>26.3003262</v>
      </c>
      <c r="N109" s="9">
        <f t="shared" si="3"/>
        <v>149</v>
      </c>
      <c r="O109" s="9">
        <f t="shared" si="4"/>
        <v>68.8</v>
      </c>
      <c r="P109" s="9">
        <f t="shared" si="6"/>
        <v>62.4</v>
      </c>
      <c r="Q109" s="9">
        <f t="shared" ref="Q109:R109" si="107">average(L103:L109)</f>
        <v>86.31428571</v>
      </c>
      <c r="R109" s="9">
        <f t="shared" si="107"/>
        <v>35.526576</v>
      </c>
      <c r="S109" s="11">
        <v>47.2</v>
      </c>
      <c r="T109" s="11">
        <v>48.0775</v>
      </c>
      <c r="U109" s="12">
        <v>0.82</v>
      </c>
      <c r="V109" s="12">
        <v>561.3</v>
      </c>
      <c r="W109" s="12">
        <v>31.0</v>
      </c>
      <c r="X109" s="8">
        <v>5880.0</v>
      </c>
      <c r="Y109" s="8">
        <v>542.0</v>
      </c>
      <c r="Z109" s="8">
        <v>687.0</v>
      </c>
      <c r="AA109" s="8">
        <v>2.481</v>
      </c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 ht="15.75" customHeight="1">
      <c r="A110" s="6">
        <v>109.0</v>
      </c>
      <c r="B110" s="7">
        <v>49418.0</v>
      </c>
      <c r="C110" s="8">
        <v>25.3</v>
      </c>
      <c r="D110" s="8">
        <v>76.9</v>
      </c>
      <c r="E110" s="8">
        <v>78.2</v>
      </c>
      <c r="F110" s="8">
        <v>25.3</v>
      </c>
      <c r="G110" s="8">
        <v>76.9</v>
      </c>
      <c r="H110" s="8">
        <v>78.2</v>
      </c>
      <c r="I110" s="8">
        <v>51.0</v>
      </c>
      <c r="J110" s="8">
        <v>29.1</v>
      </c>
      <c r="K110" s="8">
        <v>82.8</v>
      </c>
      <c r="L110" s="9">
        <f t="shared" si="1"/>
        <v>101.6</v>
      </c>
      <c r="M110" s="9">
        <f t="shared" si="2"/>
        <v>42.7170628</v>
      </c>
      <c r="N110" s="9">
        <f t="shared" si="3"/>
        <v>83.4</v>
      </c>
      <c r="O110" s="9">
        <f t="shared" si="4"/>
        <v>149</v>
      </c>
      <c r="P110" s="9">
        <f t="shared" si="6"/>
        <v>75.4</v>
      </c>
      <c r="Q110" s="9">
        <f t="shared" ref="Q110:R110" si="108">average(L104:L110)</f>
        <v>91.91428571</v>
      </c>
      <c r="R110" s="9">
        <f t="shared" si="108"/>
        <v>37.50739617</v>
      </c>
      <c r="S110" s="11">
        <v>47.74</v>
      </c>
      <c r="T110" s="11">
        <v>47.915</v>
      </c>
      <c r="U110" s="12">
        <v>2.15</v>
      </c>
      <c r="V110" s="12">
        <v>478.3</v>
      </c>
      <c r="W110" s="12">
        <v>28.0</v>
      </c>
      <c r="X110" s="8">
        <v>5868.0</v>
      </c>
      <c r="Y110" s="8">
        <v>598.0</v>
      </c>
      <c r="Z110" s="8">
        <v>619.0</v>
      </c>
      <c r="AA110" s="8">
        <v>2.22</v>
      </c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 ht="15.75" customHeight="1">
      <c r="A111" s="6">
        <v>110.0</v>
      </c>
      <c r="B111" s="7">
        <v>49419.0</v>
      </c>
      <c r="C111" s="8">
        <v>17.8</v>
      </c>
      <c r="D111" s="8">
        <v>69.1</v>
      </c>
      <c r="E111" s="8">
        <v>85.3</v>
      </c>
      <c r="F111" s="8">
        <v>17.8</v>
      </c>
      <c r="G111" s="8">
        <v>69.1</v>
      </c>
      <c r="H111" s="8">
        <v>85.3</v>
      </c>
      <c r="I111" s="8">
        <v>51.0</v>
      </c>
      <c r="J111" s="8">
        <v>29.8</v>
      </c>
      <c r="K111" s="8">
        <v>74.8</v>
      </c>
      <c r="L111" s="9">
        <f t="shared" si="1"/>
        <v>86.6</v>
      </c>
      <c r="M111" s="9">
        <f t="shared" si="2"/>
        <v>32.3515628</v>
      </c>
      <c r="N111" s="9">
        <f t="shared" si="3"/>
        <v>101.6</v>
      </c>
      <c r="O111" s="9">
        <f t="shared" si="4"/>
        <v>83.4</v>
      </c>
      <c r="P111" s="9">
        <f t="shared" si="6"/>
        <v>97.2</v>
      </c>
      <c r="Q111" s="9">
        <f t="shared" ref="Q111:R111" si="109">average(L105:L111)</f>
        <v>93.51428571</v>
      </c>
      <c r="R111" s="9">
        <f t="shared" si="109"/>
        <v>37.02616629</v>
      </c>
      <c r="S111" s="11">
        <v>47.95</v>
      </c>
      <c r="T111" s="11">
        <v>48.07000000000001</v>
      </c>
      <c r="U111" s="12">
        <v>1.64</v>
      </c>
      <c r="V111" s="12">
        <v>583.5</v>
      </c>
      <c r="W111" s="12">
        <v>40.0</v>
      </c>
      <c r="X111" s="8">
        <v>5699.0</v>
      </c>
      <c r="Y111" s="8">
        <v>419.0</v>
      </c>
      <c r="Z111" s="8">
        <v>365.0</v>
      </c>
      <c r="AA111" s="8">
        <v>2.243</v>
      </c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 ht="15.75" customHeight="1">
      <c r="A112" s="6">
        <v>111.0</v>
      </c>
      <c r="B112" s="7">
        <v>49420.0</v>
      </c>
      <c r="C112" s="8">
        <v>34.8</v>
      </c>
      <c r="D112" s="8">
        <v>69.2</v>
      </c>
      <c r="E112" s="8">
        <v>79.7</v>
      </c>
      <c r="F112" s="8">
        <v>34.8</v>
      </c>
      <c r="G112" s="8">
        <v>69.2</v>
      </c>
      <c r="H112" s="8">
        <v>79.7</v>
      </c>
      <c r="I112" s="8">
        <v>51.0</v>
      </c>
      <c r="J112" s="8">
        <v>27.5</v>
      </c>
      <c r="K112" s="8">
        <v>82.8</v>
      </c>
      <c r="L112" s="9">
        <f t="shared" si="1"/>
        <v>120.6</v>
      </c>
      <c r="M112" s="9">
        <f t="shared" si="2"/>
        <v>49.9987704</v>
      </c>
      <c r="N112" s="9">
        <f t="shared" si="3"/>
        <v>86.6</v>
      </c>
      <c r="O112" s="9">
        <f t="shared" si="4"/>
        <v>101.6</v>
      </c>
      <c r="P112" s="9">
        <f t="shared" si="6"/>
        <v>68</v>
      </c>
      <c r="Q112" s="9">
        <f t="shared" ref="Q112:R112" si="110">average(L106:L112)</f>
        <v>96.85714286</v>
      </c>
      <c r="R112" s="9">
        <f t="shared" si="110"/>
        <v>38.80605429</v>
      </c>
      <c r="S112" s="11">
        <v>47.63</v>
      </c>
      <c r="T112" s="11">
        <v>48.305</v>
      </c>
      <c r="U112" s="12">
        <v>2.52</v>
      </c>
      <c r="V112" s="12">
        <v>554.4</v>
      </c>
      <c r="W112" s="12">
        <v>25.0</v>
      </c>
      <c r="X112" s="8">
        <v>6206.0</v>
      </c>
      <c r="Y112" s="8">
        <v>679.0</v>
      </c>
      <c r="Z112" s="8">
        <v>693.0</v>
      </c>
      <c r="AA112" s="8">
        <v>2.389</v>
      </c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 ht="15.75" customHeight="1">
      <c r="A113" s="6">
        <v>112.0</v>
      </c>
      <c r="B113" s="7">
        <v>49421.0</v>
      </c>
      <c r="C113" s="8">
        <v>37.9</v>
      </c>
      <c r="D113" s="8">
        <v>77.6</v>
      </c>
      <c r="E113" s="8">
        <v>83.2</v>
      </c>
      <c r="F113" s="8">
        <v>37.9</v>
      </c>
      <c r="G113" s="8">
        <v>77.6</v>
      </c>
      <c r="H113" s="8">
        <v>83.2</v>
      </c>
      <c r="I113" s="8">
        <v>51.0</v>
      </c>
      <c r="J113" s="8">
        <v>24.4</v>
      </c>
      <c r="K113" s="8">
        <v>80.5</v>
      </c>
      <c r="L113" s="9">
        <f t="shared" si="1"/>
        <v>126.8</v>
      </c>
      <c r="M113" s="9">
        <f t="shared" si="2"/>
        <v>58.9563256</v>
      </c>
      <c r="N113" s="9">
        <f t="shared" si="3"/>
        <v>120.6</v>
      </c>
      <c r="O113" s="9">
        <f t="shared" si="4"/>
        <v>86.6</v>
      </c>
      <c r="P113" s="9">
        <f t="shared" si="6"/>
        <v>68.8</v>
      </c>
      <c r="Q113" s="9">
        <f t="shared" ref="Q113:R113" si="111">average(L107:L113)</f>
        <v>105.2571429</v>
      </c>
      <c r="R113" s="9">
        <f t="shared" si="111"/>
        <v>42.64146494</v>
      </c>
      <c r="S113" s="11">
        <v>45.78</v>
      </c>
      <c r="T113" s="11">
        <v>48.35249999999999</v>
      </c>
      <c r="U113" s="12">
        <v>2.39</v>
      </c>
      <c r="V113" s="12">
        <v>525.4</v>
      </c>
      <c r="W113" s="12">
        <v>24.0</v>
      </c>
      <c r="X113" s="8">
        <v>5886.0</v>
      </c>
      <c r="Y113" s="8">
        <v>708.0</v>
      </c>
      <c r="Z113" s="8">
        <v>579.0</v>
      </c>
      <c r="AA113" s="8">
        <v>2.266</v>
      </c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 ht="15.75" customHeight="1">
      <c r="A114" s="6">
        <v>113.0</v>
      </c>
      <c r="B114" s="7">
        <v>49422.0</v>
      </c>
      <c r="C114" s="8">
        <v>27.9</v>
      </c>
      <c r="D114" s="8">
        <v>73.8</v>
      </c>
      <c r="E114" s="8">
        <v>78.9</v>
      </c>
      <c r="F114" s="8">
        <v>27.9</v>
      </c>
      <c r="G114" s="8">
        <v>73.8</v>
      </c>
      <c r="H114" s="8">
        <v>78.9</v>
      </c>
      <c r="I114" s="8">
        <v>51.0</v>
      </c>
      <c r="J114" s="8">
        <v>20.6</v>
      </c>
      <c r="K114" s="8">
        <v>76.4</v>
      </c>
      <c r="L114" s="9">
        <f t="shared" si="1"/>
        <v>106.8</v>
      </c>
      <c r="M114" s="9">
        <f t="shared" si="2"/>
        <v>40.5179196</v>
      </c>
      <c r="N114" s="9">
        <f t="shared" si="3"/>
        <v>126.8</v>
      </c>
      <c r="O114" s="9">
        <f t="shared" si="4"/>
        <v>120.6</v>
      </c>
      <c r="P114" s="9">
        <f t="shared" si="6"/>
        <v>149</v>
      </c>
      <c r="Q114" s="9">
        <f t="shared" ref="Q114:R114" si="112">average(L108:L114)</f>
        <v>110.6857143</v>
      </c>
      <c r="R114" s="9">
        <f t="shared" si="112"/>
        <v>41.39930277</v>
      </c>
      <c r="S114" s="11">
        <v>46.13</v>
      </c>
      <c r="T114" s="11">
        <v>48.415</v>
      </c>
      <c r="U114" s="12">
        <v>2.92</v>
      </c>
      <c r="V114" s="12">
        <v>506.0</v>
      </c>
      <c r="W114" s="12">
        <v>27.0</v>
      </c>
      <c r="X114" s="8">
        <v>6490.0</v>
      </c>
      <c r="Y114" s="8">
        <v>619.0</v>
      </c>
      <c r="Z114" s="8">
        <v>603.0</v>
      </c>
      <c r="AA114" s="8">
        <v>2.601</v>
      </c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 ht="15.75" customHeight="1">
      <c r="A115" s="6">
        <v>114.0</v>
      </c>
      <c r="B115" s="7">
        <v>49423.0</v>
      </c>
      <c r="C115" s="8">
        <v>36.7</v>
      </c>
      <c r="D115" s="8">
        <v>82.2</v>
      </c>
      <c r="E115" s="8">
        <v>78.5</v>
      </c>
      <c r="F115" s="8">
        <v>36.7</v>
      </c>
      <c r="G115" s="8">
        <v>82.2</v>
      </c>
      <c r="H115" s="8">
        <v>78.5</v>
      </c>
      <c r="I115" s="8">
        <v>57.0</v>
      </c>
      <c r="J115" s="8">
        <v>28.6</v>
      </c>
      <c r="K115" s="8">
        <v>83.5</v>
      </c>
      <c r="L115" s="9">
        <f t="shared" si="1"/>
        <v>130.4</v>
      </c>
      <c r="M115" s="9">
        <f t="shared" si="2"/>
        <v>60.974988</v>
      </c>
      <c r="N115" s="9">
        <f t="shared" si="3"/>
        <v>106.8</v>
      </c>
      <c r="O115" s="9">
        <f t="shared" si="4"/>
        <v>126.8</v>
      </c>
      <c r="P115" s="9">
        <f t="shared" si="6"/>
        <v>83.4</v>
      </c>
      <c r="Q115" s="9">
        <f t="shared" ref="Q115:R115" si="113">average(L109:L115)</f>
        <v>108.0285714</v>
      </c>
      <c r="R115" s="9">
        <f t="shared" si="113"/>
        <v>44.54527934</v>
      </c>
      <c r="S115" s="11">
        <v>0.0</v>
      </c>
      <c r="T115" s="11">
        <v>0.0</v>
      </c>
      <c r="U115" s="12">
        <v>1.8</v>
      </c>
      <c r="V115" s="12">
        <v>554.4</v>
      </c>
      <c r="W115" s="12">
        <v>36.0</v>
      </c>
      <c r="X115" s="8">
        <v>6132.0</v>
      </c>
      <c r="Y115" s="8">
        <v>468.72</v>
      </c>
      <c r="Z115" s="8">
        <v>584.0</v>
      </c>
      <c r="AA115" s="8">
        <v>2.247</v>
      </c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 ht="15.75" customHeight="1">
      <c r="A116" s="6">
        <v>115.0</v>
      </c>
      <c r="B116" s="7">
        <v>49424.0</v>
      </c>
      <c r="C116" s="8">
        <v>36.7</v>
      </c>
      <c r="D116" s="8">
        <v>78.6</v>
      </c>
      <c r="E116" s="8">
        <v>78.0</v>
      </c>
      <c r="F116" s="8">
        <v>36.7</v>
      </c>
      <c r="G116" s="8">
        <v>78.6</v>
      </c>
      <c r="H116" s="8">
        <v>78.0</v>
      </c>
      <c r="I116" s="8">
        <v>80.0</v>
      </c>
      <c r="J116" s="8">
        <v>26.6</v>
      </c>
      <c r="K116" s="8">
        <v>83.3</v>
      </c>
      <c r="L116" s="9">
        <f t="shared" si="1"/>
        <v>153.4</v>
      </c>
      <c r="M116" s="9">
        <f t="shared" si="2"/>
        <v>62.726312</v>
      </c>
      <c r="N116" s="9">
        <f t="shared" si="3"/>
        <v>130.4</v>
      </c>
      <c r="O116" s="9">
        <f t="shared" si="4"/>
        <v>106.8</v>
      </c>
      <c r="P116" s="9">
        <f t="shared" si="6"/>
        <v>101.6</v>
      </c>
      <c r="Q116" s="9">
        <f t="shared" ref="Q116:R116" si="114">average(L110:L116)</f>
        <v>118.0285714</v>
      </c>
      <c r="R116" s="9">
        <f t="shared" si="114"/>
        <v>49.7489916</v>
      </c>
      <c r="S116" s="11">
        <v>48.24</v>
      </c>
      <c r="T116" s="11">
        <v>47.815</v>
      </c>
      <c r="U116" s="12">
        <v>1.29</v>
      </c>
      <c r="V116" s="12">
        <v>515.7</v>
      </c>
      <c r="W116" s="12">
        <v>37.0</v>
      </c>
      <c r="X116" s="8">
        <v>5467.0</v>
      </c>
      <c r="Y116" s="8">
        <v>457.0</v>
      </c>
      <c r="Z116" s="8">
        <v>510.0</v>
      </c>
      <c r="AA116" s="8">
        <v>2.149</v>
      </c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 ht="15.75" customHeight="1">
      <c r="A117" s="6">
        <v>116.0</v>
      </c>
      <c r="B117" s="7">
        <v>49425.0</v>
      </c>
      <c r="C117" s="8">
        <v>13.1</v>
      </c>
      <c r="D117" s="8">
        <v>1.3</v>
      </c>
      <c r="E117" s="8">
        <v>79.9</v>
      </c>
      <c r="F117" s="8">
        <v>13.1</v>
      </c>
      <c r="G117" s="8">
        <v>1.3</v>
      </c>
      <c r="H117" s="8">
        <v>79.9</v>
      </c>
      <c r="I117" s="8">
        <v>75.0</v>
      </c>
      <c r="J117" s="8">
        <v>23.3</v>
      </c>
      <c r="K117" s="8">
        <v>85.9</v>
      </c>
      <c r="L117" s="9">
        <f t="shared" si="1"/>
        <v>101.2</v>
      </c>
      <c r="M117" s="9">
        <f t="shared" si="2"/>
        <v>15.2831644</v>
      </c>
      <c r="N117" s="9">
        <f t="shared" si="3"/>
        <v>153.4</v>
      </c>
      <c r="O117" s="9">
        <f t="shared" si="4"/>
        <v>130.4</v>
      </c>
      <c r="P117" s="9">
        <f t="shared" si="6"/>
        <v>86.6</v>
      </c>
      <c r="Q117" s="9">
        <f t="shared" ref="Q117:R117" si="115">average(L111:L117)</f>
        <v>117.9714286</v>
      </c>
      <c r="R117" s="9">
        <f t="shared" si="115"/>
        <v>45.82986326</v>
      </c>
      <c r="S117" s="11">
        <v>50.79</v>
      </c>
      <c r="T117" s="11">
        <v>35.295</v>
      </c>
      <c r="U117" s="12">
        <v>2.05</v>
      </c>
      <c r="V117" s="12">
        <v>544.7</v>
      </c>
      <c r="W117" s="12">
        <v>32.0</v>
      </c>
      <c r="X117" s="8">
        <v>5385.0</v>
      </c>
      <c r="Y117" s="8">
        <v>523.0</v>
      </c>
      <c r="Z117" s="8">
        <v>522.0</v>
      </c>
      <c r="AA117" s="8">
        <v>2.024</v>
      </c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 ht="15.75" customHeight="1">
      <c r="A118" s="6">
        <v>117.0</v>
      </c>
      <c r="B118" s="7">
        <v>49426.0</v>
      </c>
      <c r="C118" s="8">
        <v>33.5</v>
      </c>
      <c r="D118" s="8">
        <v>60.5</v>
      </c>
      <c r="E118" s="8">
        <v>86.1</v>
      </c>
      <c r="F118" s="8">
        <v>33.5</v>
      </c>
      <c r="G118" s="8">
        <v>60.5</v>
      </c>
      <c r="H118" s="8">
        <v>86.1</v>
      </c>
      <c r="I118" s="8">
        <v>90.0</v>
      </c>
      <c r="J118" s="8">
        <v>16.6</v>
      </c>
      <c r="K118" s="8">
        <v>82.2</v>
      </c>
      <c r="L118" s="9">
        <f t="shared" si="1"/>
        <v>157</v>
      </c>
      <c r="M118" s="9">
        <f t="shared" si="2"/>
        <v>47.181315</v>
      </c>
      <c r="N118" s="9">
        <f t="shared" si="3"/>
        <v>101.2</v>
      </c>
      <c r="O118" s="9">
        <f t="shared" si="4"/>
        <v>153.4</v>
      </c>
      <c r="P118" s="9">
        <f t="shared" si="6"/>
        <v>120.6</v>
      </c>
      <c r="Q118" s="9">
        <f t="shared" ref="Q118:R118" si="116">average(L112:L118)</f>
        <v>128.0285714</v>
      </c>
      <c r="R118" s="9">
        <f t="shared" si="116"/>
        <v>47.94839929</v>
      </c>
      <c r="S118" s="11">
        <v>54.47</v>
      </c>
      <c r="T118" s="11">
        <v>48.43</v>
      </c>
      <c r="U118" s="12">
        <v>2.04</v>
      </c>
      <c r="V118" s="12">
        <v>573.8</v>
      </c>
      <c r="W118" s="12">
        <v>28.0</v>
      </c>
      <c r="X118" s="8">
        <v>6169.0</v>
      </c>
      <c r="Y118" s="8">
        <v>594.0</v>
      </c>
      <c r="Z118" s="8">
        <v>563.0</v>
      </c>
      <c r="AA118" s="8">
        <v>2.337</v>
      </c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 ht="15.75" customHeight="1">
      <c r="A119" s="6">
        <v>118.0</v>
      </c>
      <c r="B119" s="7">
        <v>49427.0</v>
      </c>
      <c r="C119" s="8">
        <v>41.3</v>
      </c>
      <c r="D119" s="8">
        <v>43.6</v>
      </c>
      <c r="E119" s="8">
        <v>83.8</v>
      </c>
      <c r="F119" s="8">
        <v>41.3</v>
      </c>
      <c r="G119" s="8">
        <v>43.6</v>
      </c>
      <c r="H119" s="8">
        <v>83.8</v>
      </c>
      <c r="I119" s="8">
        <v>100.0</v>
      </c>
      <c r="J119" s="8">
        <v>26.5</v>
      </c>
      <c r="K119" s="8">
        <v>83.7</v>
      </c>
      <c r="L119" s="9">
        <f t="shared" si="1"/>
        <v>182.6</v>
      </c>
      <c r="M119" s="9">
        <f t="shared" si="2"/>
        <v>52.3598968</v>
      </c>
      <c r="N119" s="9">
        <f t="shared" si="3"/>
        <v>157</v>
      </c>
      <c r="O119" s="9">
        <f t="shared" si="4"/>
        <v>101.2</v>
      </c>
      <c r="P119" s="9">
        <f t="shared" si="6"/>
        <v>126.8</v>
      </c>
      <c r="Q119" s="9">
        <f t="shared" ref="Q119:R119" si="117">average(L113:L119)</f>
        <v>136.8857143</v>
      </c>
      <c r="R119" s="9">
        <f t="shared" si="117"/>
        <v>48.28570306</v>
      </c>
      <c r="S119" s="11">
        <v>55.1</v>
      </c>
      <c r="T119" s="11">
        <v>35.03</v>
      </c>
      <c r="U119" s="12">
        <v>1.84</v>
      </c>
      <c r="V119" s="12">
        <v>573.8</v>
      </c>
      <c r="W119" s="12">
        <v>32.0</v>
      </c>
      <c r="X119" s="8">
        <v>6284.0</v>
      </c>
      <c r="Y119" s="8">
        <v>521.0</v>
      </c>
      <c r="Z119" s="8">
        <v>663.0</v>
      </c>
      <c r="AA119" s="8">
        <v>2.363</v>
      </c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 ht="15.75" customHeight="1">
      <c r="A120" s="6">
        <v>119.0</v>
      </c>
      <c r="B120" s="7">
        <v>49428.0</v>
      </c>
      <c r="C120" s="8">
        <v>54.8</v>
      </c>
      <c r="D120" s="8">
        <v>54.5</v>
      </c>
      <c r="E120" s="8">
        <v>79.6</v>
      </c>
      <c r="F120" s="8">
        <v>54.8</v>
      </c>
      <c r="G120" s="8">
        <v>54.5</v>
      </c>
      <c r="H120" s="8">
        <v>79.6</v>
      </c>
      <c r="I120" s="8">
        <v>92.0</v>
      </c>
      <c r="J120" s="8">
        <v>25.3</v>
      </c>
      <c r="K120" s="8">
        <v>75.5</v>
      </c>
      <c r="L120" s="9">
        <f t="shared" si="1"/>
        <v>201.6</v>
      </c>
      <c r="M120" s="9">
        <f t="shared" si="2"/>
        <v>65.120052</v>
      </c>
      <c r="N120" s="9">
        <f t="shared" si="3"/>
        <v>182.6</v>
      </c>
      <c r="O120" s="9">
        <f t="shared" si="4"/>
        <v>157</v>
      </c>
      <c r="P120" s="9">
        <f t="shared" si="6"/>
        <v>106.8</v>
      </c>
      <c r="Q120" s="9">
        <f t="shared" ref="Q120:R120" si="118">average(L114:L120)</f>
        <v>147.5714286</v>
      </c>
      <c r="R120" s="9">
        <f t="shared" si="118"/>
        <v>49.1662354</v>
      </c>
      <c r="S120" s="11">
        <v>56.89</v>
      </c>
      <c r="T120" s="11">
        <v>34.1775</v>
      </c>
      <c r="U120" s="12">
        <v>1.91</v>
      </c>
      <c r="V120" s="12">
        <v>583.5</v>
      </c>
      <c r="W120" s="12">
        <v>31.0</v>
      </c>
      <c r="X120" s="8">
        <v>5486.0</v>
      </c>
      <c r="Y120" s="8">
        <v>545.0</v>
      </c>
      <c r="Z120" s="8">
        <v>635.0</v>
      </c>
      <c r="AA120" s="8">
        <v>2.162</v>
      </c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 ht="15.75" customHeight="1">
      <c r="A121" s="6">
        <v>120.0</v>
      </c>
      <c r="B121" s="7">
        <v>49429.0</v>
      </c>
      <c r="C121" s="8">
        <v>42.1</v>
      </c>
      <c r="D121" s="8">
        <v>51.0</v>
      </c>
      <c r="E121" s="8">
        <v>75.4</v>
      </c>
      <c r="F121" s="8">
        <v>42.1</v>
      </c>
      <c r="G121" s="8">
        <v>51.0</v>
      </c>
      <c r="H121" s="8">
        <v>75.4</v>
      </c>
      <c r="I121" s="8">
        <v>80.0</v>
      </c>
      <c r="J121" s="8">
        <v>25.9</v>
      </c>
      <c r="K121" s="8">
        <v>81.0</v>
      </c>
      <c r="L121" s="9">
        <f t="shared" si="1"/>
        <v>164.2</v>
      </c>
      <c r="M121" s="9">
        <f t="shared" si="2"/>
        <v>49.161468</v>
      </c>
      <c r="N121" s="9">
        <f t="shared" si="3"/>
        <v>201.6</v>
      </c>
      <c r="O121" s="9">
        <f t="shared" si="4"/>
        <v>182.6</v>
      </c>
      <c r="P121" s="9">
        <f t="shared" si="6"/>
        <v>130.4</v>
      </c>
      <c r="Q121" s="9">
        <f t="shared" ref="Q121:R121" si="119">average(L115:L121)</f>
        <v>155.7714286</v>
      </c>
      <c r="R121" s="9">
        <f t="shared" si="119"/>
        <v>50.40102803</v>
      </c>
      <c r="S121" s="11">
        <v>56.7</v>
      </c>
      <c r="T121" s="11">
        <v>35.1875</v>
      </c>
      <c r="U121" s="12">
        <v>2.05</v>
      </c>
      <c r="V121" s="12">
        <v>612.5</v>
      </c>
      <c r="W121" s="12">
        <v>30.0</v>
      </c>
      <c r="X121" s="8">
        <v>6455.0</v>
      </c>
      <c r="Y121" s="8">
        <v>559.0</v>
      </c>
      <c r="Z121" s="8">
        <v>600.0</v>
      </c>
      <c r="AA121" s="8">
        <v>2.52</v>
      </c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 ht="15.75" customHeight="1">
      <c r="A122" s="6">
        <v>121.0</v>
      </c>
      <c r="B122" s="7">
        <v>49430.0</v>
      </c>
      <c r="C122" s="8">
        <v>51.4</v>
      </c>
      <c r="D122" s="8">
        <v>55.6</v>
      </c>
      <c r="E122" s="8">
        <v>77.9</v>
      </c>
      <c r="F122" s="8">
        <v>51.4</v>
      </c>
      <c r="G122" s="8">
        <v>55.6</v>
      </c>
      <c r="H122" s="8">
        <v>77.9</v>
      </c>
      <c r="I122" s="8">
        <v>30.0</v>
      </c>
      <c r="J122" s="8">
        <v>26.1</v>
      </c>
      <c r="K122" s="8">
        <v>79.6</v>
      </c>
      <c r="L122" s="9">
        <f t="shared" si="1"/>
        <v>132.8</v>
      </c>
      <c r="M122" s="9">
        <f t="shared" si="2"/>
        <v>50.7578272</v>
      </c>
      <c r="N122" s="9">
        <f t="shared" si="3"/>
        <v>164.2</v>
      </c>
      <c r="O122" s="9">
        <f t="shared" si="4"/>
        <v>201.6</v>
      </c>
      <c r="P122" s="9">
        <f t="shared" si="6"/>
        <v>153.4</v>
      </c>
      <c r="Q122" s="9">
        <f t="shared" ref="Q122:R122" si="120">average(L116:L122)</f>
        <v>156.1142857</v>
      </c>
      <c r="R122" s="9">
        <f t="shared" si="120"/>
        <v>48.94143363</v>
      </c>
      <c r="S122" s="11">
        <v>56.45</v>
      </c>
      <c r="T122" s="11">
        <v>49.045</v>
      </c>
      <c r="U122" s="12">
        <v>1.76</v>
      </c>
      <c r="V122" s="12">
        <v>602.8</v>
      </c>
      <c r="W122" s="12">
        <v>41.0</v>
      </c>
      <c r="X122" s="8">
        <v>6187.0</v>
      </c>
      <c r="Y122" s="8">
        <v>407.0</v>
      </c>
      <c r="Z122" s="8">
        <v>474.0</v>
      </c>
      <c r="AA122" s="8">
        <v>2.405</v>
      </c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 ht="15.75" customHeight="1">
      <c r="A123" s="6">
        <v>122.0</v>
      </c>
      <c r="B123" s="7">
        <v>49431.0</v>
      </c>
      <c r="C123" s="8">
        <v>49.5</v>
      </c>
      <c r="D123" s="8">
        <v>41.6</v>
      </c>
      <c r="E123" s="8">
        <v>79.2</v>
      </c>
      <c r="F123" s="8">
        <v>49.5</v>
      </c>
      <c r="G123" s="8">
        <v>41.6</v>
      </c>
      <c r="H123" s="8">
        <v>79.2</v>
      </c>
      <c r="I123" s="8">
        <v>80.0</v>
      </c>
      <c r="J123" s="8">
        <v>36.2</v>
      </c>
      <c r="K123" s="8">
        <v>83.4</v>
      </c>
      <c r="L123" s="9">
        <f t="shared" si="1"/>
        <v>179</v>
      </c>
      <c r="M123" s="9">
        <f t="shared" si="2"/>
        <v>56.770368</v>
      </c>
      <c r="N123" s="9">
        <f t="shared" si="3"/>
        <v>132.8</v>
      </c>
      <c r="O123" s="9">
        <f t="shared" si="4"/>
        <v>164.2</v>
      </c>
      <c r="P123" s="9">
        <f t="shared" si="6"/>
        <v>101.2</v>
      </c>
      <c r="Q123" s="9">
        <f t="shared" ref="Q123:R123" si="121">average(L117:L123)</f>
        <v>159.7714286</v>
      </c>
      <c r="R123" s="9">
        <f t="shared" si="121"/>
        <v>48.09058449</v>
      </c>
      <c r="S123" s="11">
        <v>56.88</v>
      </c>
      <c r="T123" s="11">
        <v>48.86</v>
      </c>
      <c r="U123" s="12">
        <v>2.57</v>
      </c>
      <c r="V123" s="12">
        <v>602.8</v>
      </c>
      <c r="W123" s="12">
        <v>32.0</v>
      </c>
      <c r="X123" s="8">
        <v>6775.0</v>
      </c>
      <c r="Y123" s="8">
        <v>528.0</v>
      </c>
      <c r="Z123" s="8">
        <v>575.0</v>
      </c>
      <c r="AA123" s="8">
        <v>2.906</v>
      </c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 ht="15.75" customHeight="1">
      <c r="A124" s="6">
        <v>123.0</v>
      </c>
      <c r="B124" s="7">
        <v>49432.0</v>
      </c>
      <c r="C124" s="8">
        <v>15.5</v>
      </c>
      <c r="D124" s="8">
        <v>49.3</v>
      </c>
      <c r="E124" s="8">
        <v>80.9</v>
      </c>
      <c r="F124" s="8">
        <v>15.5</v>
      </c>
      <c r="G124" s="8">
        <v>49.3</v>
      </c>
      <c r="H124" s="8">
        <v>80.9</v>
      </c>
      <c r="I124" s="8">
        <v>52.0</v>
      </c>
      <c r="J124" s="8">
        <v>21.6</v>
      </c>
      <c r="K124" s="8">
        <v>77.2</v>
      </c>
      <c r="L124" s="9">
        <f t="shared" si="1"/>
        <v>83</v>
      </c>
      <c r="M124" s="9">
        <f t="shared" si="2"/>
        <v>21.035051</v>
      </c>
      <c r="N124" s="9">
        <f t="shared" si="3"/>
        <v>179</v>
      </c>
      <c r="O124" s="9">
        <f t="shared" si="4"/>
        <v>132.8</v>
      </c>
      <c r="P124" s="9">
        <f t="shared" si="6"/>
        <v>157</v>
      </c>
      <c r="Q124" s="9">
        <f t="shared" ref="Q124:R124" si="122">average(L118:L124)</f>
        <v>157.1714286</v>
      </c>
      <c r="R124" s="9">
        <f t="shared" si="122"/>
        <v>48.91228257</v>
      </c>
      <c r="S124" s="11">
        <v>56.19</v>
      </c>
      <c r="T124" s="11">
        <v>48.54</v>
      </c>
      <c r="U124" s="12">
        <v>2.47</v>
      </c>
      <c r="V124" s="12">
        <v>631.9</v>
      </c>
      <c r="W124" s="12">
        <v>28.0</v>
      </c>
      <c r="X124" s="8">
        <v>7354.0</v>
      </c>
      <c r="Y124" s="8">
        <v>608.0</v>
      </c>
      <c r="Z124" s="8">
        <v>615.0</v>
      </c>
      <c r="AA124" s="8">
        <v>3.107</v>
      </c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 ht="15.75" customHeight="1">
      <c r="A125" s="6">
        <v>124.0</v>
      </c>
      <c r="B125" s="7">
        <v>49433.0</v>
      </c>
      <c r="C125" s="8">
        <v>17.3</v>
      </c>
      <c r="D125" s="8">
        <v>50.4</v>
      </c>
      <c r="E125" s="8">
        <v>75.5</v>
      </c>
      <c r="F125" s="8">
        <v>17.3</v>
      </c>
      <c r="G125" s="8">
        <v>50.4</v>
      </c>
      <c r="H125" s="8">
        <v>75.5</v>
      </c>
      <c r="I125" s="8">
        <v>64.0</v>
      </c>
      <c r="J125" s="8">
        <v>26.7</v>
      </c>
      <c r="K125" s="8">
        <v>75.2</v>
      </c>
      <c r="L125" s="9">
        <f t="shared" si="1"/>
        <v>98.6</v>
      </c>
      <c r="M125" s="9">
        <f t="shared" si="2"/>
        <v>26.016168</v>
      </c>
      <c r="N125" s="9">
        <f t="shared" si="3"/>
        <v>83</v>
      </c>
      <c r="O125" s="9">
        <f t="shared" si="4"/>
        <v>179</v>
      </c>
      <c r="P125" s="9">
        <f t="shared" si="6"/>
        <v>182.6</v>
      </c>
      <c r="Q125" s="9">
        <f t="shared" ref="Q125:R125" si="123">average(L119:L125)</f>
        <v>148.8285714</v>
      </c>
      <c r="R125" s="9">
        <f t="shared" si="123"/>
        <v>45.88869014</v>
      </c>
      <c r="S125" s="11">
        <v>56.21</v>
      </c>
      <c r="T125" s="11">
        <v>48.872499999999995</v>
      </c>
      <c r="U125" s="12">
        <v>2.64</v>
      </c>
      <c r="V125" s="12">
        <v>651.3</v>
      </c>
      <c r="W125" s="12">
        <v>27.0</v>
      </c>
      <c r="X125" s="8">
        <v>8045.0</v>
      </c>
      <c r="Y125" s="8">
        <v>621.0</v>
      </c>
      <c r="Z125" s="8">
        <v>544.0</v>
      </c>
      <c r="AA125" s="8">
        <v>3.375</v>
      </c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 ht="15.75" customHeight="1">
      <c r="A126" s="6">
        <v>125.0</v>
      </c>
      <c r="B126" s="7">
        <v>49434.0</v>
      </c>
      <c r="C126" s="8">
        <v>27.3</v>
      </c>
      <c r="D126" s="8">
        <v>53.6</v>
      </c>
      <c r="E126" s="8">
        <v>80.1</v>
      </c>
      <c r="F126" s="8">
        <v>27.3</v>
      </c>
      <c r="G126" s="8">
        <v>53.6</v>
      </c>
      <c r="H126" s="8">
        <v>80.1</v>
      </c>
      <c r="I126" s="8">
        <v>59.0</v>
      </c>
      <c r="J126" s="8">
        <v>23.4</v>
      </c>
      <c r="K126" s="8">
        <v>76.7</v>
      </c>
      <c r="L126" s="9">
        <f t="shared" si="1"/>
        <v>113.6</v>
      </c>
      <c r="M126" s="9">
        <f t="shared" si="2"/>
        <v>34.0309476</v>
      </c>
      <c r="N126" s="9">
        <f t="shared" si="3"/>
        <v>98.6</v>
      </c>
      <c r="O126" s="9">
        <f t="shared" si="4"/>
        <v>83</v>
      </c>
      <c r="P126" s="9">
        <f t="shared" si="6"/>
        <v>201.6</v>
      </c>
      <c r="Q126" s="9">
        <f t="shared" ref="Q126:R126" si="124">average(L120:L126)</f>
        <v>138.9714286</v>
      </c>
      <c r="R126" s="9">
        <f t="shared" si="124"/>
        <v>43.27026883</v>
      </c>
      <c r="S126" s="11">
        <v>55.76</v>
      </c>
      <c r="T126" s="11">
        <v>48.5325</v>
      </c>
      <c r="U126" s="12">
        <v>2.15</v>
      </c>
      <c r="V126" s="12">
        <v>593.1</v>
      </c>
      <c r="W126" s="12">
        <v>33.0</v>
      </c>
      <c r="X126" s="8">
        <v>6452.0</v>
      </c>
      <c r="Y126" s="8">
        <v>516.0</v>
      </c>
      <c r="Z126" s="8">
        <v>585.0</v>
      </c>
      <c r="AA126" s="8">
        <v>2.693</v>
      </c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 ht="15.75" customHeight="1">
      <c r="A127" s="6">
        <v>126.0</v>
      </c>
      <c r="B127" s="7">
        <v>49435.0</v>
      </c>
      <c r="C127" s="8">
        <v>27.3</v>
      </c>
      <c r="D127" s="8">
        <v>84.0</v>
      </c>
      <c r="E127" s="8">
        <v>85.0</v>
      </c>
      <c r="F127" s="8">
        <v>27.3</v>
      </c>
      <c r="G127" s="8">
        <v>84.0</v>
      </c>
      <c r="H127" s="8">
        <v>85.0</v>
      </c>
      <c r="I127" s="8">
        <v>76.0</v>
      </c>
      <c r="J127" s="8">
        <v>24.4</v>
      </c>
      <c r="K127" s="8">
        <v>81.1</v>
      </c>
      <c r="L127" s="9">
        <f t="shared" si="1"/>
        <v>130.6</v>
      </c>
      <c r="M127" s="9">
        <f t="shared" si="2"/>
        <v>54.023584</v>
      </c>
      <c r="N127" s="9">
        <f t="shared" si="3"/>
        <v>113.6</v>
      </c>
      <c r="O127" s="9">
        <f t="shared" si="4"/>
        <v>98.6</v>
      </c>
      <c r="P127" s="9">
        <f t="shared" si="6"/>
        <v>164.2</v>
      </c>
      <c r="Q127" s="9">
        <f t="shared" ref="Q127:R127" si="125">average(L121:L127)</f>
        <v>128.8285714</v>
      </c>
      <c r="R127" s="9">
        <f t="shared" si="125"/>
        <v>41.68505911</v>
      </c>
      <c r="S127" s="11">
        <v>57.12</v>
      </c>
      <c r="T127" s="11">
        <v>48.7225</v>
      </c>
      <c r="U127" s="12">
        <v>2.71</v>
      </c>
      <c r="V127" s="12">
        <v>554.4</v>
      </c>
      <c r="W127" s="12">
        <v>27.0</v>
      </c>
      <c r="X127" s="8">
        <v>6433.0</v>
      </c>
      <c r="Y127" s="8">
        <v>629.0</v>
      </c>
      <c r="Z127" s="8">
        <v>597.0</v>
      </c>
      <c r="AA127" s="8">
        <v>2.778</v>
      </c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 ht="15.75" customHeight="1">
      <c r="A128" s="6">
        <v>127.0</v>
      </c>
      <c r="B128" s="7">
        <v>49436.0</v>
      </c>
      <c r="C128" s="8">
        <v>61.3</v>
      </c>
      <c r="D128" s="8">
        <v>89.7</v>
      </c>
      <c r="E128" s="8">
        <v>83.4</v>
      </c>
      <c r="F128" s="8">
        <v>61.3</v>
      </c>
      <c r="G128" s="8">
        <v>89.7</v>
      </c>
      <c r="H128" s="8">
        <v>83.4</v>
      </c>
      <c r="I128" s="8">
        <v>85.0</v>
      </c>
      <c r="J128" s="8">
        <v>24.0</v>
      </c>
      <c r="K128" s="8">
        <v>83.6</v>
      </c>
      <c r="L128" s="9">
        <f t="shared" si="1"/>
        <v>207.6</v>
      </c>
      <c r="M128" s="9">
        <f t="shared" si="2"/>
        <v>108.7712148</v>
      </c>
      <c r="N128" s="9">
        <f t="shared" si="3"/>
        <v>130.6</v>
      </c>
      <c r="O128" s="9">
        <f t="shared" si="4"/>
        <v>113.6</v>
      </c>
      <c r="P128" s="9">
        <f t="shared" si="6"/>
        <v>132.8</v>
      </c>
      <c r="Q128" s="9">
        <f t="shared" ref="Q128:R128" si="126">average(L122:L128)</f>
        <v>135.0285714</v>
      </c>
      <c r="R128" s="9">
        <f t="shared" si="126"/>
        <v>50.20073723</v>
      </c>
      <c r="S128" s="11">
        <v>58.35</v>
      </c>
      <c r="T128" s="11">
        <v>50.457499999999996</v>
      </c>
      <c r="U128" s="12">
        <v>3.05</v>
      </c>
      <c r="V128" s="12">
        <v>690.0</v>
      </c>
      <c r="W128" s="12">
        <v>26.0</v>
      </c>
      <c r="X128" s="8">
        <v>7501.0</v>
      </c>
      <c r="Y128" s="8">
        <v>649.0</v>
      </c>
      <c r="Z128" s="8">
        <v>708.0</v>
      </c>
      <c r="AA128" s="8">
        <v>3.125</v>
      </c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 ht="15.75" customHeight="1">
      <c r="A129" s="6">
        <v>128.0</v>
      </c>
      <c r="B129" s="7">
        <v>49437.0</v>
      </c>
      <c r="C129" s="8">
        <v>42.6</v>
      </c>
      <c r="D129" s="8">
        <v>89.2</v>
      </c>
      <c r="E129" s="8">
        <v>84.4</v>
      </c>
      <c r="F129" s="8">
        <v>42.6</v>
      </c>
      <c r="G129" s="8">
        <v>89.2</v>
      </c>
      <c r="H129" s="8">
        <v>84.4</v>
      </c>
      <c r="I129" s="8">
        <v>60.0</v>
      </c>
      <c r="J129" s="8">
        <v>19.6</v>
      </c>
      <c r="K129" s="8">
        <v>75.5</v>
      </c>
      <c r="L129" s="9">
        <f t="shared" si="1"/>
        <v>145.2</v>
      </c>
      <c r="M129" s="9">
        <f t="shared" si="2"/>
        <v>73.0214496</v>
      </c>
      <c r="N129" s="9">
        <f t="shared" si="3"/>
        <v>207.6</v>
      </c>
      <c r="O129" s="9">
        <f t="shared" si="4"/>
        <v>130.6</v>
      </c>
      <c r="P129" s="9">
        <f t="shared" si="6"/>
        <v>179</v>
      </c>
      <c r="Q129" s="9">
        <f t="shared" ref="Q129:R129" si="127">average(L123:L129)</f>
        <v>136.8</v>
      </c>
      <c r="R129" s="9">
        <f t="shared" si="127"/>
        <v>53.38125471</v>
      </c>
      <c r="S129" s="11">
        <v>59.62</v>
      </c>
      <c r="T129" s="11">
        <v>50.1275</v>
      </c>
      <c r="U129" s="12">
        <v>2.6</v>
      </c>
      <c r="V129" s="12">
        <v>651.3</v>
      </c>
      <c r="W129" s="12">
        <v>25.0</v>
      </c>
      <c r="X129" s="8">
        <v>6974.0</v>
      </c>
      <c r="Y129" s="8">
        <v>673.0</v>
      </c>
      <c r="Z129" s="8">
        <v>681.0</v>
      </c>
      <c r="AA129" s="8">
        <v>2.971</v>
      </c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 ht="15.75" customHeight="1">
      <c r="A130" s="6">
        <v>129.0</v>
      </c>
      <c r="B130" s="7">
        <v>49438.0</v>
      </c>
      <c r="C130" s="8">
        <v>34.3</v>
      </c>
      <c r="D130" s="8">
        <v>88.3</v>
      </c>
      <c r="E130" s="8">
        <v>82.9</v>
      </c>
      <c r="F130" s="8">
        <v>34.3</v>
      </c>
      <c r="G130" s="8">
        <v>88.3</v>
      </c>
      <c r="H130" s="8">
        <v>82.9</v>
      </c>
      <c r="I130" s="8">
        <v>55.0</v>
      </c>
      <c r="J130" s="8">
        <v>24.2</v>
      </c>
      <c r="K130" s="8">
        <v>80.5</v>
      </c>
      <c r="L130" s="9">
        <f t="shared" si="1"/>
        <v>123.6</v>
      </c>
      <c r="M130" s="9">
        <f t="shared" si="2"/>
        <v>60.9302302</v>
      </c>
      <c r="N130" s="9">
        <f t="shared" si="3"/>
        <v>145.2</v>
      </c>
      <c r="O130" s="9">
        <f t="shared" si="4"/>
        <v>207.6</v>
      </c>
      <c r="P130" s="9">
        <f t="shared" si="6"/>
        <v>83</v>
      </c>
      <c r="Q130" s="9">
        <f t="shared" ref="Q130:R130" si="128">average(L124:L130)</f>
        <v>128.8857143</v>
      </c>
      <c r="R130" s="9">
        <f t="shared" si="128"/>
        <v>53.97552074</v>
      </c>
      <c r="S130" s="11">
        <v>61.19</v>
      </c>
      <c r="T130" s="11">
        <v>50.5775</v>
      </c>
      <c r="U130" s="12">
        <v>2.57</v>
      </c>
      <c r="V130" s="12">
        <v>612.5</v>
      </c>
      <c r="W130" s="12">
        <v>25.0</v>
      </c>
      <c r="X130" s="8">
        <v>7999.0</v>
      </c>
      <c r="Y130" s="8">
        <v>681.0</v>
      </c>
      <c r="Z130" s="8">
        <v>656.0</v>
      </c>
      <c r="AA130" s="8">
        <v>3.264</v>
      </c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 ht="15.75" customHeight="1">
      <c r="A131" s="6">
        <v>130.0</v>
      </c>
      <c r="B131" s="7">
        <v>49439.0</v>
      </c>
      <c r="C131" s="8">
        <v>25.6</v>
      </c>
      <c r="D131" s="8">
        <v>89.3</v>
      </c>
      <c r="E131" s="8">
        <v>86.0</v>
      </c>
      <c r="F131" s="8">
        <v>25.6</v>
      </c>
      <c r="G131" s="8">
        <v>89.3</v>
      </c>
      <c r="H131" s="8">
        <v>86.0</v>
      </c>
      <c r="I131" s="8">
        <v>24.0</v>
      </c>
      <c r="J131" s="8">
        <v>20.1</v>
      </c>
      <c r="K131" s="8">
        <v>83.1</v>
      </c>
      <c r="L131" s="9">
        <f t="shared" si="1"/>
        <v>75.2</v>
      </c>
      <c r="M131" s="9">
        <f t="shared" si="2"/>
        <v>43.32932</v>
      </c>
      <c r="N131" s="9">
        <f t="shared" si="3"/>
        <v>123.6</v>
      </c>
      <c r="O131" s="9">
        <f t="shared" si="4"/>
        <v>145.2</v>
      </c>
      <c r="P131" s="9">
        <f t="shared" si="6"/>
        <v>98.6</v>
      </c>
      <c r="Q131" s="9">
        <f t="shared" ref="Q131:R131" si="129">average(L125:L131)</f>
        <v>127.7714286</v>
      </c>
      <c r="R131" s="9">
        <f t="shared" si="129"/>
        <v>57.16041631</v>
      </c>
      <c r="S131" s="11">
        <v>60.53</v>
      </c>
      <c r="T131" s="11">
        <v>51.175</v>
      </c>
      <c r="U131" s="12">
        <v>2.58</v>
      </c>
      <c r="V131" s="12">
        <v>637.4</v>
      </c>
      <c r="W131" s="12">
        <v>27.0</v>
      </c>
      <c r="X131" s="8">
        <v>7031.0</v>
      </c>
      <c r="Y131" s="8">
        <v>618.0</v>
      </c>
      <c r="Z131" s="8">
        <v>698.0</v>
      </c>
      <c r="AA131" s="8">
        <v>2.938</v>
      </c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 ht="15.75" customHeight="1">
      <c r="A132" s="6">
        <v>131.0</v>
      </c>
      <c r="B132" s="7">
        <v>49440.0</v>
      </c>
      <c r="C132" s="8">
        <v>12.2</v>
      </c>
      <c r="D132" s="8">
        <v>90.2</v>
      </c>
      <c r="E132" s="8">
        <v>84.0</v>
      </c>
      <c r="F132" s="8">
        <v>12.2</v>
      </c>
      <c r="G132" s="8">
        <v>90.2</v>
      </c>
      <c r="H132" s="8">
        <v>84.0</v>
      </c>
      <c r="I132" s="8">
        <v>24.0</v>
      </c>
      <c r="J132" s="8">
        <v>16.9</v>
      </c>
      <c r="K132" s="8">
        <v>82.6</v>
      </c>
      <c r="L132" s="9">
        <f t="shared" si="1"/>
        <v>48.4</v>
      </c>
      <c r="M132" s="9">
        <f t="shared" si="2"/>
        <v>21.837648</v>
      </c>
      <c r="N132" s="9">
        <f t="shared" si="3"/>
        <v>75.2</v>
      </c>
      <c r="O132" s="9">
        <f t="shared" si="4"/>
        <v>123.6</v>
      </c>
      <c r="P132" s="9">
        <f t="shared" si="6"/>
        <v>113.6</v>
      </c>
      <c r="Q132" s="9">
        <f t="shared" ref="Q132:R132" si="130">average(L126:L132)</f>
        <v>120.6</v>
      </c>
      <c r="R132" s="9">
        <f t="shared" si="130"/>
        <v>56.56348489</v>
      </c>
      <c r="S132" s="11">
        <v>56.31</v>
      </c>
      <c r="T132" s="11">
        <v>50.512499999999996</v>
      </c>
      <c r="U132" s="12">
        <v>2.92</v>
      </c>
      <c r="V132" s="12">
        <v>684.5</v>
      </c>
      <c r="W132" s="12">
        <v>27.0</v>
      </c>
      <c r="X132" s="8">
        <v>6887.0</v>
      </c>
      <c r="Y132" s="8">
        <v>621.0</v>
      </c>
      <c r="Z132" s="8">
        <v>699.0</v>
      </c>
      <c r="AA132" s="8">
        <v>2.785</v>
      </c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 ht="15.75" customHeight="1">
      <c r="A133" s="6">
        <v>132.0</v>
      </c>
      <c r="B133" s="7">
        <v>49441.0</v>
      </c>
      <c r="C133" s="8">
        <v>2.0</v>
      </c>
      <c r="D133" s="8">
        <v>90.9</v>
      </c>
      <c r="E133" s="8">
        <v>84.6</v>
      </c>
      <c r="F133" s="8">
        <v>2.0</v>
      </c>
      <c r="G133" s="8">
        <v>90.9</v>
      </c>
      <c r="H133" s="8">
        <v>84.6</v>
      </c>
      <c r="I133" s="8">
        <v>30.0</v>
      </c>
      <c r="J133" s="8">
        <v>16.6</v>
      </c>
      <c r="K133" s="8">
        <v>82.8</v>
      </c>
      <c r="L133" s="9">
        <f t="shared" si="1"/>
        <v>34</v>
      </c>
      <c r="M133" s="9">
        <f t="shared" si="2"/>
        <v>7.199496</v>
      </c>
      <c r="N133" s="9">
        <f t="shared" si="3"/>
        <v>48.4</v>
      </c>
      <c r="O133" s="9">
        <f t="shared" si="4"/>
        <v>75.2</v>
      </c>
      <c r="P133" s="9">
        <f t="shared" si="6"/>
        <v>130.6</v>
      </c>
      <c r="Q133" s="9">
        <f t="shared" ref="Q133:R133" si="131">average(L127:L133)</f>
        <v>109.2285714</v>
      </c>
      <c r="R133" s="9">
        <f t="shared" si="131"/>
        <v>52.73042037</v>
      </c>
      <c r="S133" s="11">
        <v>54.72</v>
      </c>
      <c r="T133" s="11">
        <v>50.28</v>
      </c>
      <c r="U133" s="12">
        <v>2.65</v>
      </c>
      <c r="V133" s="12">
        <v>641.6</v>
      </c>
      <c r="W133" s="12">
        <v>30.0</v>
      </c>
      <c r="X133" s="8">
        <v>6762.0</v>
      </c>
      <c r="Y133" s="8">
        <v>558.0</v>
      </c>
      <c r="Z133" s="8">
        <v>649.0</v>
      </c>
      <c r="AA133" s="8">
        <v>2.819</v>
      </c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 ht="15.75" customHeight="1">
      <c r="A134" s="6">
        <v>133.0</v>
      </c>
      <c r="B134" s="7">
        <v>49442.0</v>
      </c>
      <c r="C134" s="8">
        <v>0.0</v>
      </c>
      <c r="D134" s="8">
        <v>89.6</v>
      </c>
      <c r="E134" s="8">
        <v>84.4</v>
      </c>
      <c r="F134" s="8">
        <v>0.0</v>
      </c>
      <c r="G134" s="8">
        <v>89.6</v>
      </c>
      <c r="H134" s="8">
        <v>84.4</v>
      </c>
      <c r="I134" s="8">
        <v>40.0</v>
      </c>
      <c r="J134" s="8">
        <v>16.4</v>
      </c>
      <c r="K134" s="8">
        <v>82.0</v>
      </c>
      <c r="L134" s="9">
        <f t="shared" si="1"/>
        <v>40</v>
      </c>
      <c r="M134" s="9">
        <f t="shared" si="2"/>
        <v>5.3792</v>
      </c>
      <c r="N134" s="9">
        <f t="shared" si="3"/>
        <v>34</v>
      </c>
      <c r="O134" s="9">
        <f t="shared" si="4"/>
        <v>48.4</v>
      </c>
      <c r="P134" s="9">
        <f t="shared" si="6"/>
        <v>207.6</v>
      </c>
      <c r="Q134" s="9">
        <f t="shared" ref="Q134:R134" si="132">average(L128:L134)</f>
        <v>96.28571429</v>
      </c>
      <c r="R134" s="9">
        <f t="shared" si="132"/>
        <v>45.78122266</v>
      </c>
      <c r="S134" s="11">
        <v>53.22</v>
      </c>
      <c r="T134" s="11">
        <v>50.245</v>
      </c>
      <c r="U134" s="12">
        <v>2.2</v>
      </c>
      <c r="V134" s="12">
        <v>709.3</v>
      </c>
      <c r="W134" s="12">
        <v>31.0</v>
      </c>
      <c r="X134" s="8">
        <v>6572.0</v>
      </c>
      <c r="Y134" s="8">
        <v>549.0</v>
      </c>
      <c r="Z134" s="8">
        <v>548.0</v>
      </c>
      <c r="AA134" s="8">
        <v>2.761</v>
      </c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 ht="15.75" customHeight="1">
      <c r="A135" s="6">
        <v>134.0</v>
      </c>
      <c r="B135" s="7">
        <v>49443.0</v>
      </c>
      <c r="C135" s="8">
        <v>0.0</v>
      </c>
      <c r="D135" s="8">
        <v>89.6</v>
      </c>
      <c r="E135" s="8">
        <v>84.4</v>
      </c>
      <c r="F135" s="8">
        <v>0.0</v>
      </c>
      <c r="G135" s="8">
        <v>89.6</v>
      </c>
      <c r="H135" s="8">
        <v>84.4</v>
      </c>
      <c r="I135" s="8">
        <v>30.0</v>
      </c>
      <c r="J135" s="8">
        <v>16.0</v>
      </c>
      <c r="K135" s="8">
        <v>81.9</v>
      </c>
      <c r="L135" s="9">
        <f t="shared" si="1"/>
        <v>30</v>
      </c>
      <c r="M135" s="9">
        <f t="shared" si="2"/>
        <v>3.9312</v>
      </c>
      <c r="N135" s="9">
        <f t="shared" si="3"/>
        <v>40</v>
      </c>
      <c r="O135" s="9">
        <f t="shared" si="4"/>
        <v>34</v>
      </c>
      <c r="P135" s="9">
        <f t="shared" si="6"/>
        <v>145.2</v>
      </c>
      <c r="Q135" s="9">
        <f t="shared" ref="Q135:R135" si="133">average(L129:L135)</f>
        <v>70.91428571</v>
      </c>
      <c r="R135" s="9">
        <f t="shared" si="133"/>
        <v>30.80407769</v>
      </c>
      <c r="S135" s="11">
        <v>0.0</v>
      </c>
      <c r="T135" s="11">
        <v>49.777499999999996</v>
      </c>
      <c r="U135" s="12">
        <v>2.82</v>
      </c>
      <c r="V135" s="12">
        <v>842.2</v>
      </c>
      <c r="W135" s="12">
        <v>25.0</v>
      </c>
      <c r="X135" s="8">
        <v>6401.0</v>
      </c>
      <c r="Y135" s="8">
        <v>684.0</v>
      </c>
      <c r="Z135" s="8">
        <v>707.0</v>
      </c>
      <c r="AA135" s="8">
        <v>2.663</v>
      </c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 ht="15.75" customHeight="1">
      <c r="A136" s="6">
        <v>135.0</v>
      </c>
      <c r="B136" s="7">
        <v>49444.0</v>
      </c>
      <c r="C136" s="8">
        <v>0.0</v>
      </c>
      <c r="D136" s="8">
        <v>89.9</v>
      </c>
      <c r="E136" s="8">
        <v>84.7</v>
      </c>
      <c r="F136" s="8">
        <v>0.0</v>
      </c>
      <c r="G136" s="8">
        <v>89.9</v>
      </c>
      <c r="H136" s="8">
        <v>84.7</v>
      </c>
      <c r="I136" s="8">
        <v>30.0</v>
      </c>
      <c r="J136" s="8">
        <v>19.3</v>
      </c>
      <c r="K136" s="8">
        <v>85.3</v>
      </c>
      <c r="L136" s="9">
        <f t="shared" si="1"/>
        <v>30</v>
      </c>
      <c r="M136" s="9">
        <f t="shared" si="2"/>
        <v>4.93887</v>
      </c>
      <c r="N136" s="9">
        <f t="shared" si="3"/>
        <v>30</v>
      </c>
      <c r="O136" s="9">
        <f t="shared" si="4"/>
        <v>40</v>
      </c>
      <c r="P136" s="9">
        <f t="shared" si="6"/>
        <v>123.6</v>
      </c>
      <c r="Q136" s="9">
        <f t="shared" ref="Q136:R136" si="134">average(L130:L136)</f>
        <v>54.45714286</v>
      </c>
      <c r="R136" s="9">
        <f t="shared" si="134"/>
        <v>21.07799489</v>
      </c>
      <c r="S136" s="11">
        <v>0.0</v>
      </c>
      <c r="T136" s="11">
        <v>0.0</v>
      </c>
      <c r="U136" s="12">
        <v>2.76</v>
      </c>
      <c r="V136" s="12">
        <v>705.2</v>
      </c>
      <c r="W136" s="12">
        <v>26.0</v>
      </c>
      <c r="X136" s="8">
        <v>5941.0</v>
      </c>
      <c r="Y136" s="8">
        <v>662.0</v>
      </c>
      <c r="Z136" s="8">
        <v>604.0</v>
      </c>
      <c r="AA136" s="8">
        <v>2.493</v>
      </c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 ht="15.75" customHeight="1">
      <c r="A137" s="6">
        <v>136.0</v>
      </c>
      <c r="B137" s="7">
        <v>49445.0</v>
      </c>
      <c r="C137" s="8">
        <v>18.5</v>
      </c>
      <c r="D137" s="8">
        <v>88.0</v>
      </c>
      <c r="E137" s="8">
        <v>83.8</v>
      </c>
      <c r="F137" s="8">
        <v>18.5</v>
      </c>
      <c r="G137" s="8">
        <v>88.0</v>
      </c>
      <c r="H137" s="8">
        <v>83.8</v>
      </c>
      <c r="I137" s="8">
        <v>30.0</v>
      </c>
      <c r="J137" s="8">
        <v>18.0</v>
      </c>
      <c r="K137" s="8">
        <v>82.1</v>
      </c>
      <c r="L137" s="9">
        <f t="shared" si="1"/>
        <v>67</v>
      </c>
      <c r="M137" s="9">
        <f t="shared" si="2"/>
        <v>31.71868</v>
      </c>
      <c r="N137" s="9">
        <f t="shared" si="3"/>
        <v>30</v>
      </c>
      <c r="O137" s="9">
        <f t="shared" si="4"/>
        <v>30</v>
      </c>
      <c r="P137" s="9">
        <f t="shared" si="6"/>
        <v>75.2</v>
      </c>
      <c r="Q137" s="9">
        <f t="shared" ref="Q137:R137" si="135">average(L131:L137)</f>
        <v>46.37142857</v>
      </c>
      <c r="R137" s="9">
        <f t="shared" si="135"/>
        <v>16.90491629</v>
      </c>
      <c r="S137" s="11">
        <v>47.36</v>
      </c>
      <c r="T137" s="11">
        <v>49.53</v>
      </c>
      <c r="U137" s="12">
        <v>2.11</v>
      </c>
      <c r="V137" s="12">
        <v>670.6</v>
      </c>
      <c r="W137" s="12">
        <v>25.0</v>
      </c>
      <c r="X137" s="8">
        <v>5821.0</v>
      </c>
      <c r="Y137" s="8">
        <v>675.0</v>
      </c>
      <c r="Z137" s="8">
        <v>695.0</v>
      </c>
      <c r="AA137" s="8">
        <v>2.57</v>
      </c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 ht="15.75" customHeight="1">
      <c r="A138" s="6">
        <v>137.0</v>
      </c>
      <c r="B138" s="7">
        <v>49446.0</v>
      </c>
      <c r="C138" s="8">
        <v>16.3</v>
      </c>
      <c r="D138" s="8">
        <v>87.6</v>
      </c>
      <c r="E138" s="8">
        <v>83.8</v>
      </c>
      <c r="F138" s="8">
        <v>16.3</v>
      </c>
      <c r="G138" s="8">
        <v>87.6</v>
      </c>
      <c r="H138" s="8">
        <v>83.8</v>
      </c>
      <c r="I138" s="8">
        <v>30.0</v>
      </c>
      <c r="J138" s="8">
        <v>17.4</v>
      </c>
      <c r="K138" s="8">
        <v>82.6</v>
      </c>
      <c r="L138" s="9">
        <f t="shared" si="1"/>
        <v>62.6</v>
      </c>
      <c r="M138" s="9">
        <f t="shared" si="2"/>
        <v>28.2429888</v>
      </c>
      <c r="N138" s="9">
        <f t="shared" si="3"/>
        <v>67</v>
      </c>
      <c r="O138" s="9">
        <f t="shared" si="4"/>
        <v>30</v>
      </c>
      <c r="P138" s="9">
        <f t="shared" si="6"/>
        <v>48.4</v>
      </c>
      <c r="Q138" s="9">
        <f t="shared" ref="Q138:R138" si="136">average(L132:L138)</f>
        <v>44.57142857</v>
      </c>
      <c r="R138" s="9">
        <f t="shared" si="136"/>
        <v>14.74972611</v>
      </c>
      <c r="S138" s="11">
        <v>46.06</v>
      </c>
      <c r="T138" s="11">
        <v>51.24</v>
      </c>
      <c r="U138" s="12">
        <v>1.84</v>
      </c>
      <c r="V138" s="12">
        <v>699.7</v>
      </c>
      <c r="W138" s="12">
        <v>26.0</v>
      </c>
      <c r="X138" s="8">
        <v>6297.0</v>
      </c>
      <c r="Y138" s="8">
        <v>654.0</v>
      </c>
      <c r="Z138" s="8">
        <v>672.0</v>
      </c>
      <c r="AA138" s="8">
        <v>2.714</v>
      </c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 ht="15.75" customHeight="1">
      <c r="A139" s="6">
        <v>138.0</v>
      </c>
      <c r="B139" s="7">
        <v>49447.0</v>
      </c>
      <c r="C139" s="8">
        <v>26.8</v>
      </c>
      <c r="D139" s="8">
        <v>87.0</v>
      </c>
      <c r="E139" s="8">
        <v>83.7</v>
      </c>
      <c r="F139" s="8">
        <v>26.8</v>
      </c>
      <c r="G139" s="8">
        <v>87.0</v>
      </c>
      <c r="H139" s="8">
        <v>83.7</v>
      </c>
      <c r="I139" s="8">
        <v>30.0</v>
      </c>
      <c r="J139" s="8">
        <v>21.6</v>
      </c>
      <c r="K139" s="8">
        <v>83.3</v>
      </c>
      <c r="L139" s="9">
        <f t="shared" si="1"/>
        <v>83.6</v>
      </c>
      <c r="M139" s="9">
        <f t="shared" si="2"/>
        <v>44.428824</v>
      </c>
      <c r="N139" s="9">
        <f t="shared" si="3"/>
        <v>62.6</v>
      </c>
      <c r="O139" s="9">
        <f t="shared" si="4"/>
        <v>67</v>
      </c>
      <c r="P139" s="9">
        <f t="shared" si="6"/>
        <v>34</v>
      </c>
      <c r="Q139" s="9">
        <f t="shared" ref="Q139:R139" si="137">average(L133:L139)</f>
        <v>49.6</v>
      </c>
      <c r="R139" s="9">
        <f t="shared" si="137"/>
        <v>17.97703697</v>
      </c>
      <c r="S139" s="11">
        <v>46.21</v>
      </c>
      <c r="T139" s="11">
        <v>51.7975</v>
      </c>
      <c r="U139" s="12">
        <v>2.44</v>
      </c>
      <c r="V139" s="12">
        <v>690.0</v>
      </c>
      <c r="W139" s="12">
        <v>27.0</v>
      </c>
      <c r="X139" s="8">
        <v>6236.0</v>
      </c>
      <c r="Y139" s="8">
        <v>625.0</v>
      </c>
      <c r="Z139" s="8">
        <v>875.0</v>
      </c>
      <c r="AA139" s="8">
        <v>2.517</v>
      </c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 ht="15.75" customHeight="1">
      <c r="A140" s="6">
        <v>139.0</v>
      </c>
      <c r="B140" s="7">
        <v>49448.0</v>
      </c>
      <c r="C140" s="8">
        <v>24.0</v>
      </c>
      <c r="D140" s="8">
        <v>88.0</v>
      </c>
      <c r="E140" s="8">
        <v>84.7</v>
      </c>
      <c r="F140" s="8">
        <v>24.0</v>
      </c>
      <c r="G140" s="8">
        <v>88.0</v>
      </c>
      <c r="H140" s="8">
        <v>84.7</v>
      </c>
      <c r="I140" s="8">
        <v>30.0</v>
      </c>
      <c r="J140" s="8">
        <v>16.3</v>
      </c>
      <c r="K140" s="8">
        <v>82.9</v>
      </c>
      <c r="L140" s="9">
        <f t="shared" si="1"/>
        <v>78</v>
      </c>
      <c r="M140" s="9">
        <f t="shared" si="2"/>
        <v>39.83109</v>
      </c>
      <c r="N140" s="9">
        <f t="shared" si="3"/>
        <v>83.6</v>
      </c>
      <c r="O140" s="9">
        <f t="shared" si="4"/>
        <v>62.6</v>
      </c>
      <c r="P140" s="9">
        <f t="shared" si="6"/>
        <v>40</v>
      </c>
      <c r="Q140" s="9">
        <f t="shared" ref="Q140:R140" si="138">average(L134:L140)</f>
        <v>55.88571429</v>
      </c>
      <c r="R140" s="9">
        <f t="shared" si="138"/>
        <v>22.63869326</v>
      </c>
      <c r="S140" s="11">
        <v>46.13</v>
      </c>
      <c r="T140" s="11">
        <v>50.9675</v>
      </c>
      <c r="U140" s="12">
        <v>2.52</v>
      </c>
      <c r="V140" s="12">
        <v>709.4</v>
      </c>
      <c r="W140" s="12">
        <v>23.0</v>
      </c>
      <c r="X140" s="8">
        <v>6358.0</v>
      </c>
      <c r="Y140" s="8">
        <v>727.0</v>
      </c>
      <c r="Z140" s="8">
        <v>677.0</v>
      </c>
      <c r="AA140" s="8">
        <v>2.444</v>
      </c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 ht="15.75" customHeight="1">
      <c r="A141" s="6">
        <v>140.0</v>
      </c>
      <c r="B141" s="7">
        <v>49449.0</v>
      </c>
      <c r="C141" s="8">
        <v>3.5</v>
      </c>
      <c r="D141" s="8">
        <v>87.8</v>
      </c>
      <c r="E141" s="8">
        <v>84.1</v>
      </c>
      <c r="F141" s="8">
        <v>3.5</v>
      </c>
      <c r="G141" s="8">
        <v>87.8</v>
      </c>
      <c r="H141" s="8">
        <v>84.1</v>
      </c>
      <c r="I141" s="8">
        <v>30.0</v>
      </c>
      <c r="J141" s="8">
        <v>19.7</v>
      </c>
      <c r="K141" s="8">
        <v>84.5</v>
      </c>
      <c r="L141" s="9">
        <f t="shared" si="1"/>
        <v>37</v>
      </c>
      <c r="M141" s="9">
        <f t="shared" si="2"/>
        <v>10.162736</v>
      </c>
      <c r="N141" s="9">
        <f t="shared" si="3"/>
        <v>78</v>
      </c>
      <c r="O141" s="9">
        <f t="shared" si="4"/>
        <v>83.6</v>
      </c>
      <c r="P141" s="9">
        <f t="shared" si="6"/>
        <v>30</v>
      </c>
      <c r="Q141" s="9">
        <f t="shared" ref="Q141:R141" si="139">average(L135:L141)</f>
        <v>55.45714286</v>
      </c>
      <c r="R141" s="9">
        <f t="shared" si="139"/>
        <v>23.32205554</v>
      </c>
      <c r="S141" s="11" t="s">
        <v>27</v>
      </c>
      <c r="T141" s="11">
        <v>52.305</v>
      </c>
      <c r="U141" s="12">
        <v>2.07</v>
      </c>
      <c r="V141" s="12">
        <v>670.6</v>
      </c>
      <c r="W141" s="12">
        <v>28.0</v>
      </c>
      <c r="X141" s="8">
        <v>6046.0</v>
      </c>
      <c r="Y141" s="8">
        <v>601.0</v>
      </c>
      <c r="Z141" s="8">
        <v>770.0</v>
      </c>
      <c r="AA141" s="8">
        <v>2.438</v>
      </c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 ht="15.75" customHeight="1">
      <c r="A142" s="6">
        <v>141.0</v>
      </c>
      <c r="B142" s="7">
        <v>49450.0</v>
      </c>
      <c r="C142" s="8">
        <v>20.8</v>
      </c>
      <c r="D142" s="8">
        <v>0.0</v>
      </c>
      <c r="E142" s="8">
        <v>84.0</v>
      </c>
      <c r="F142" s="8">
        <v>20.8</v>
      </c>
      <c r="G142" s="8">
        <v>0.0</v>
      </c>
      <c r="H142" s="8">
        <v>84.0</v>
      </c>
      <c r="I142" s="8">
        <v>30.0</v>
      </c>
      <c r="J142" s="8">
        <v>19.4</v>
      </c>
      <c r="K142" s="8">
        <v>83.2</v>
      </c>
      <c r="L142" s="9">
        <f t="shared" si="1"/>
        <v>71.6</v>
      </c>
      <c r="M142" s="9">
        <f t="shared" si="2"/>
        <v>4.84224</v>
      </c>
      <c r="N142" s="9">
        <f t="shared" si="3"/>
        <v>37</v>
      </c>
      <c r="O142" s="9">
        <f t="shared" si="4"/>
        <v>78</v>
      </c>
      <c r="P142" s="9">
        <f t="shared" si="6"/>
        <v>30</v>
      </c>
      <c r="Q142" s="9">
        <f t="shared" ref="Q142:R142" si="140">average(L136:L142)</f>
        <v>61.4</v>
      </c>
      <c r="R142" s="9">
        <f t="shared" si="140"/>
        <v>23.45220411</v>
      </c>
      <c r="S142" s="11">
        <v>0.0</v>
      </c>
      <c r="T142" s="11">
        <v>52.4925</v>
      </c>
      <c r="U142" s="12">
        <v>2.84</v>
      </c>
      <c r="V142" s="12">
        <v>757.8</v>
      </c>
      <c r="W142" s="12">
        <v>23.0</v>
      </c>
      <c r="X142" s="8">
        <v>6153.0</v>
      </c>
      <c r="Y142" s="8">
        <v>741.0</v>
      </c>
      <c r="Z142" s="8">
        <v>662.0</v>
      </c>
      <c r="AA142" s="8">
        <v>2.449</v>
      </c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 ht="15.75" customHeight="1">
      <c r="A143" s="6">
        <v>142.0</v>
      </c>
      <c r="B143" s="7">
        <v>49451.0</v>
      </c>
      <c r="C143" s="8">
        <v>9.5</v>
      </c>
      <c r="D143" s="8">
        <v>70.1</v>
      </c>
      <c r="E143" s="8">
        <v>67.3</v>
      </c>
      <c r="F143" s="8">
        <v>9.5</v>
      </c>
      <c r="G143" s="8">
        <v>70.1</v>
      </c>
      <c r="H143" s="8">
        <v>67.3</v>
      </c>
      <c r="I143" s="8">
        <v>10.0</v>
      </c>
      <c r="J143" s="8">
        <v>21.1</v>
      </c>
      <c r="K143" s="8">
        <v>83.9</v>
      </c>
      <c r="L143" s="9">
        <f t="shared" si="1"/>
        <v>29</v>
      </c>
      <c r="M143" s="9">
        <f t="shared" si="2"/>
        <v>10.733977</v>
      </c>
      <c r="N143" s="9">
        <f t="shared" si="3"/>
        <v>71.6</v>
      </c>
      <c r="O143" s="9">
        <f t="shared" si="4"/>
        <v>37</v>
      </c>
      <c r="P143" s="9">
        <f t="shared" si="6"/>
        <v>67</v>
      </c>
      <c r="Q143" s="9">
        <f t="shared" ref="Q143:R143" si="141">average(L137:L143)</f>
        <v>61.25714286</v>
      </c>
      <c r="R143" s="9">
        <f t="shared" si="141"/>
        <v>24.28007654</v>
      </c>
      <c r="S143" s="11" t="s">
        <v>27</v>
      </c>
      <c r="T143" s="11">
        <v>0.0</v>
      </c>
      <c r="U143" s="12">
        <v>2.54</v>
      </c>
      <c r="V143" s="12">
        <v>690.0</v>
      </c>
      <c r="W143" s="12">
        <v>23.0</v>
      </c>
      <c r="X143" s="8">
        <v>5831.0</v>
      </c>
      <c r="Y143" s="8">
        <v>744.0</v>
      </c>
      <c r="Z143" s="8">
        <v>654.0</v>
      </c>
      <c r="AA143" s="8">
        <v>2.343</v>
      </c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 ht="15.75" customHeight="1">
      <c r="A144" s="6">
        <v>143.0</v>
      </c>
      <c r="B144" s="7">
        <v>49452.0</v>
      </c>
      <c r="C144" s="8">
        <v>0.0</v>
      </c>
      <c r="D144" s="8">
        <v>66.6</v>
      </c>
      <c r="E144" s="8">
        <v>80.7</v>
      </c>
      <c r="F144" s="8">
        <v>0.0</v>
      </c>
      <c r="G144" s="8">
        <v>66.6</v>
      </c>
      <c r="H144" s="8">
        <v>80.7</v>
      </c>
      <c r="I144" s="8">
        <v>20.0</v>
      </c>
      <c r="J144" s="8">
        <v>20.1</v>
      </c>
      <c r="K144" s="8">
        <v>84.3</v>
      </c>
      <c r="L144" s="9">
        <f t="shared" si="1"/>
        <v>20</v>
      </c>
      <c r="M144" s="9">
        <f t="shared" si="2"/>
        <v>3.38886</v>
      </c>
      <c r="N144" s="9">
        <f t="shared" si="3"/>
        <v>29</v>
      </c>
      <c r="O144" s="9">
        <f t="shared" si="4"/>
        <v>71.6</v>
      </c>
      <c r="P144" s="9">
        <f t="shared" si="6"/>
        <v>62.6</v>
      </c>
      <c r="Q144" s="9">
        <f t="shared" ref="Q144:R144" si="142">average(L138:L144)</f>
        <v>54.54285714</v>
      </c>
      <c r="R144" s="9">
        <f t="shared" si="142"/>
        <v>20.2329594</v>
      </c>
      <c r="S144" s="11">
        <v>0.0</v>
      </c>
      <c r="T144" s="11">
        <v>0.0</v>
      </c>
      <c r="U144" s="12">
        <v>1.97</v>
      </c>
      <c r="V144" s="12">
        <v>641.6</v>
      </c>
      <c r="W144" s="12">
        <v>30.0</v>
      </c>
      <c r="X144" s="8">
        <v>6259.0</v>
      </c>
      <c r="Y144" s="8">
        <v>561.0</v>
      </c>
      <c r="Z144" s="8">
        <v>525.0</v>
      </c>
      <c r="AA144" s="8">
        <v>2.587</v>
      </c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 ht="15.75" customHeight="1">
      <c r="A145" s="6">
        <v>144.0</v>
      </c>
      <c r="B145" s="7">
        <v>49453.0</v>
      </c>
      <c r="C145" s="8">
        <v>0.0</v>
      </c>
      <c r="D145" s="8">
        <v>62.5</v>
      </c>
      <c r="E145" s="8">
        <v>80.2</v>
      </c>
      <c r="F145" s="8">
        <v>0.0</v>
      </c>
      <c r="G145" s="8">
        <v>62.5</v>
      </c>
      <c r="H145" s="8">
        <v>80.2</v>
      </c>
      <c r="I145" s="8">
        <v>35.0</v>
      </c>
      <c r="J145" s="8">
        <v>20.3</v>
      </c>
      <c r="K145" s="8">
        <v>83.2</v>
      </c>
      <c r="L145" s="9">
        <f t="shared" si="1"/>
        <v>35</v>
      </c>
      <c r="M145" s="9">
        <f t="shared" si="2"/>
        <v>5.91136</v>
      </c>
      <c r="N145" s="9">
        <f t="shared" si="3"/>
        <v>20</v>
      </c>
      <c r="O145" s="9">
        <f t="shared" si="4"/>
        <v>29</v>
      </c>
      <c r="P145" s="9">
        <f t="shared" si="6"/>
        <v>83.6</v>
      </c>
      <c r="Q145" s="9">
        <f t="shared" ref="Q145:R145" si="143">average(L139:L145)</f>
        <v>50.6</v>
      </c>
      <c r="R145" s="9">
        <f t="shared" si="143"/>
        <v>17.04272671</v>
      </c>
      <c r="S145" s="11">
        <v>0.0</v>
      </c>
      <c r="T145" s="11">
        <v>52.19500000000001</v>
      </c>
      <c r="U145" s="12">
        <v>1.95</v>
      </c>
      <c r="V145" s="12">
        <v>719.0</v>
      </c>
      <c r="W145" s="12">
        <v>30.0</v>
      </c>
      <c r="X145" s="8">
        <v>5208.0</v>
      </c>
      <c r="Y145" s="8">
        <v>559.0</v>
      </c>
      <c r="Z145" s="8">
        <v>365.0</v>
      </c>
      <c r="AA145" s="8">
        <v>2.243</v>
      </c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 ht="15.75" customHeight="1">
      <c r="A146" s="6">
        <v>145.0</v>
      </c>
      <c r="B146" s="7">
        <v>49454.0</v>
      </c>
      <c r="C146" s="8">
        <v>17.4</v>
      </c>
      <c r="D146" s="8">
        <v>93.6</v>
      </c>
      <c r="E146" s="8">
        <v>80.9</v>
      </c>
      <c r="F146" s="8">
        <v>17.4</v>
      </c>
      <c r="G146" s="8">
        <v>93.6</v>
      </c>
      <c r="H146" s="8">
        <v>80.9</v>
      </c>
      <c r="I146" s="8">
        <v>30.0</v>
      </c>
      <c r="J146" s="8">
        <v>18.6</v>
      </c>
      <c r="K146" s="8">
        <v>84.3</v>
      </c>
      <c r="L146" s="9">
        <f t="shared" si="1"/>
        <v>64.8</v>
      </c>
      <c r="M146" s="9">
        <f t="shared" si="2"/>
        <v>31.0553352</v>
      </c>
      <c r="N146" s="9">
        <f t="shared" si="3"/>
        <v>35</v>
      </c>
      <c r="O146" s="9">
        <f t="shared" si="4"/>
        <v>20</v>
      </c>
      <c r="P146" s="9">
        <f t="shared" si="6"/>
        <v>78</v>
      </c>
      <c r="Q146" s="9">
        <f t="shared" ref="Q146:R146" si="144">average(L140:L146)</f>
        <v>47.91428571</v>
      </c>
      <c r="R146" s="9">
        <f t="shared" si="144"/>
        <v>15.13222831</v>
      </c>
      <c r="S146" s="11">
        <v>0.0</v>
      </c>
      <c r="T146" s="11">
        <v>52.26500000000001</v>
      </c>
      <c r="U146" s="12">
        <v>1.98</v>
      </c>
      <c r="V146" s="12">
        <v>738.4</v>
      </c>
      <c r="W146" s="12">
        <v>32.0</v>
      </c>
      <c r="X146" s="8">
        <v>5436.0</v>
      </c>
      <c r="Y146" s="8">
        <v>535.0</v>
      </c>
      <c r="Z146" s="8">
        <v>445.0</v>
      </c>
      <c r="AA146" s="8">
        <v>2.342</v>
      </c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 ht="15.75" customHeight="1">
      <c r="A147" s="6">
        <v>146.0</v>
      </c>
      <c r="B147" s="7">
        <v>49455.0</v>
      </c>
      <c r="C147" s="8">
        <v>0.0</v>
      </c>
      <c r="D147" s="8">
        <v>58.5</v>
      </c>
      <c r="E147" s="8">
        <v>78.6</v>
      </c>
      <c r="F147" s="8">
        <v>0.0</v>
      </c>
      <c r="G147" s="8">
        <v>58.5</v>
      </c>
      <c r="H147" s="8">
        <v>78.6</v>
      </c>
      <c r="I147" s="8">
        <v>30.0</v>
      </c>
      <c r="J147" s="8">
        <v>19.4</v>
      </c>
      <c r="K147" s="8">
        <v>83.9</v>
      </c>
      <c r="L147" s="9">
        <f t="shared" si="1"/>
        <v>30</v>
      </c>
      <c r="M147" s="9">
        <f t="shared" si="2"/>
        <v>4.88298</v>
      </c>
      <c r="N147" s="9">
        <f t="shared" si="3"/>
        <v>64.8</v>
      </c>
      <c r="O147" s="9">
        <f t="shared" si="4"/>
        <v>35</v>
      </c>
      <c r="P147" s="9">
        <f t="shared" si="6"/>
        <v>37</v>
      </c>
      <c r="Q147" s="9">
        <f t="shared" ref="Q147:R147" si="145">average(L141:L147)</f>
        <v>41.05714286</v>
      </c>
      <c r="R147" s="9">
        <f t="shared" si="145"/>
        <v>10.13964117</v>
      </c>
      <c r="S147" s="11">
        <v>0.0</v>
      </c>
      <c r="T147" s="11">
        <v>52.419999999999995</v>
      </c>
      <c r="U147" s="12">
        <v>1.74</v>
      </c>
      <c r="V147" s="12">
        <v>806.2</v>
      </c>
      <c r="W147" s="12">
        <v>31.0</v>
      </c>
      <c r="X147" s="8">
        <v>5737.0</v>
      </c>
      <c r="Y147" s="8">
        <v>545.0</v>
      </c>
      <c r="Z147" s="8">
        <v>628.0</v>
      </c>
      <c r="AA147" s="8">
        <v>2.564</v>
      </c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 ht="15.75" customHeight="1">
      <c r="A148" s="6">
        <v>147.0</v>
      </c>
      <c r="B148" s="7">
        <v>49456.0</v>
      </c>
      <c r="C148" s="8">
        <v>0.0</v>
      </c>
      <c r="D148" s="8">
        <v>70.2</v>
      </c>
      <c r="E148" s="8">
        <v>77.5</v>
      </c>
      <c r="F148" s="8">
        <v>0.0</v>
      </c>
      <c r="G148" s="8">
        <v>70.2</v>
      </c>
      <c r="H148" s="8">
        <v>77.5</v>
      </c>
      <c r="I148" s="8">
        <v>30.0</v>
      </c>
      <c r="J148" s="8">
        <v>18.8</v>
      </c>
      <c r="K148" s="8">
        <v>83.1</v>
      </c>
      <c r="L148" s="9">
        <f t="shared" si="1"/>
        <v>30</v>
      </c>
      <c r="M148" s="9">
        <f t="shared" si="2"/>
        <v>4.68684</v>
      </c>
      <c r="N148" s="9">
        <f t="shared" si="3"/>
        <v>30</v>
      </c>
      <c r="O148" s="9">
        <f t="shared" si="4"/>
        <v>64.8</v>
      </c>
      <c r="P148" s="9">
        <f t="shared" si="6"/>
        <v>71.6</v>
      </c>
      <c r="Q148" s="9">
        <f t="shared" ref="Q148:R148" si="146">average(L142:L148)</f>
        <v>40.05714286</v>
      </c>
      <c r="R148" s="9">
        <f t="shared" si="146"/>
        <v>9.357370314</v>
      </c>
      <c r="S148" s="11">
        <v>0.0</v>
      </c>
      <c r="T148" s="11">
        <v>51.81999999999999</v>
      </c>
      <c r="U148" s="12">
        <v>2.02</v>
      </c>
      <c r="V148" s="12">
        <v>777.1</v>
      </c>
      <c r="W148" s="12">
        <v>33.0</v>
      </c>
      <c r="X148" s="8">
        <v>5741.0</v>
      </c>
      <c r="Y148" s="8">
        <v>508.0</v>
      </c>
      <c r="Z148" s="8">
        <v>679.0</v>
      </c>
      <c r="AA148" s="8">
        <v>2.51</v>
      </c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 ht="15.75" customHeight="1">
      <c r="A149" s="6">
        <v>148.0</v>
      </c>
      <c r="B149" s="7">
        <v>49457.0</v>
      </c>
      <c r="C149" s="8">
        <v>7.0</v>
      </c>
      <c r="D149" s="8">
        <v>80.1</v>
      </c>
      <c r="E149" s="8">
        <v>74.6</v>
      </c>
      <c r="F149" s="8">
        <v>7.0</v>
      </c>
      <c r="G149" s="8">
        <v>80.1</v>
      </c>
      <c r="H149" s="8">
        <v>74.6</v>
      </c>
      <c r="I149" s="8">
        <v>30.0</v>
      </c>
      <c r="J149" s="8">
        <v>16.8</v>
      </c>
      <c r="K149" s="8">
        <v>83.7</v>
      </c>
      <c r="L149" s="9">
        <f t="shared" si="1"/>
        <v>44</v>
      </c>
      <c r="M149" s="9">
        <f t="shared" si="2"/>
        <v>12.584124</v>
      </c>
      <c r="N149" s="9">
        <f t="shared" si="3"/>
        <v>30</v>
      </c>
      <c r="O149" s="9">
        <f t="shared" si="4"/>
        <v>30</v>
      </c>
      <c r="P149" s="9">
        <f t="shared" si="6"/>
        <v>29</v>
      </c>
      <c r="Q149" s="9">
        <f t="shared" ref="Q149:R149" si="147">average(L143:L149)</f>
        <v>36.11428571</v>
      </c>
      <c r="R149" s="9">
        <f t="shared" si="147"/>
        <v>10.46335374</v>
      </c>
      <c r="S149" s="11">
        <v>0.0</v>
      </c>
      <c r="T149" s="11">
        <v>52.582499999999996</v>
      </c>
      <c r="U149" s="12">
        <v>1.43</v>
      </c>
      <c r="V149" s="12">
        <v>864.3</v>
      </c>
      <c r="W149" s="12">
        <v>31.0</v>
      </c>
      <c r="X149" s="8">
        <v>5695.0</v>
      </c>
      <c r="Y149" s="8">
        <v>545.0</v>
      </c>
      <c r="Z149" s="8">
        <v>691.0</v>
      </c>
      <c r="AA149" s="8">
        <v>2.458</v>
      </c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 ht="15.75" customHeight="1">
      <c r="A150" s="6">
        <v>149.0</v>
      </c>
      <c r="B150" s="7">
        <v>49458.0</v>
      </c>
      <c r="C150" s="8">
        <v>6.0</v>
      </c>
      <c r="D150" s="8">
        <v>84.3</v>
      </c>
      <c r="E150" s="8">
        <v>76.6</v>
      </c>
      <c r="F150" s="8">
        <v>6.0</v>
      </c>
      <c r="G150" s="8">
        <v>84.3</v>
      </c>
      <c r="H150" s="8">
        <v>76.6</v>
      </c>
      <c r="I150" s="8">
        <v>30.0</v>
      </c>
      <c r="J150" s="8">
        <v>18.0</v>
      </c>
      <c r="K150" s="8">
        <v>80.5</v>
      </c>
      <c r="L150" s="9">
        <f t="shared" si="1"/>
        <v>42</v>
      </c>
      <c r="M150" s="9">
        <f t="shared" si="2"/>
        <v>12.095856</v>
      </c>
      <c r="N150" s="9">
        <f t="shared" si="3"/>
        <v>44</v>
      </c>
      <c r="O150" s="9">
        <f t="shared" si="4"/>
        <v>30</v>
      </c>
      <c r="P150" s="9">
        <f t="shared" si="6"/>
        <v>20</v>
      </c>
      <c r="Q150" s="9">
        <f t="shared" ref="Q150:R150" si="148">average(L144:L150)</f>
        <v>37.97142857</v>
      </c>
      <c r="R150" s="9">
        <f t="shared" si="148"/>
        <v>10.65790789</v>
      </c>
      <c r="S150" s="11">
        <v>0.0</v>
      </c>
      <c r="T150" s="11">
        <v>52.65</v>
      </c>
      <c r="U150" s="12">
        <v>1.31</v>
      </c>
      <c r="V150" s="12">
        <v>854.6</v>
      </c>
      <c r="W150" s="12">
        <v>51.0</v>
      </c>
      <c r="X150" s="8">
        <v>5209.0</v>
      </c>
      <c r="Y150" s="8">
        <v>332.0</v>
      </c>
      <c r="Z150" s="8">
        <v>334.0</v>
      </c>
      <c r="AA150" s="8">
        <v>2.332</v>
      </c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 ht="15.75" customHeight="1">
      <c r="A151" s="6">
        <v>150.0</v>
      </c>
      <c r="B151" s="7">
        <v>49459.0</v>
      </c>
      <c r="C151" s="8">
        <v>1.3</v>
      </c>
      <c r="D151" s="8">
        <v>82.8</v>
      </c>
      <c r="E151" s="8">
        <v>77.1</v>
      </c>
      <c r="F151" s="8">
        <v>1.3</v>
      </c>
      <c r="G151" s="8">
        <v>82.8</v>
      </c>
      <c r="H151" s="8">
        <v>77.1</v>
      </c>
      <c r="I151" s="8">
        <v>30.0</v>
      </c>
      <c r="J151" s="8">
        <v>16.6</v>
      </c>
      <c r="K151" s="8">
        <v>74.9</v>
      </c>
      <c r="L151" s="9">
        <f t="shared" si="1"/>
        <v>32.6</v>
      </c>
      <c r="M151" s="9">
        <f t="shared" si="2"/>
        <v>5.3898288</v>
      </c>
      <c r="N151" s="9">
        <f t="shared" si="3"/>
        <v>42</v>
      </c>
      <c r="O151" s="9">
        <f t="shared" si="4"/>
        <v>44</v>
      </c>
      <c r="P151" s="9">
        <f t="shared" si="6"/>
        <v>35</v>
      </c>
      <c r="Q151" s="9">
        <f t="shared" ref="Q151:R151" si="149">average(L145:L151)</f>
        <v>39.77142857</v>
      </c>
      <c r="R151" s="9">
        <f t="shared" si="149"/>
        <v>10.94376057</v>
      </c>
      <c r="S151" s="11">
        <v>0.0</v>
      </c>
      <c r="T151" s="11">
        <v>52.42</v>
      </c>
      <c r="U151" s="12">
        <v>2.02</v>
      </c>
      <c r="V151" s="12">
        <v>815.9</v>
      </c>
      <c r="W151" s="12">
        <v>29.0</v>
      </c>
      <c r="X151" s="8">
        <v>5333.0</v>
      </c>
      <c r="Y151" s="8">
        <v>584.0</v>
      </c>
      <c r="Z151" s="8">
        <v>763.0</v>
      </c>
      <c r="AA151" s="8">
        <v>2.457</v>
      </c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 ht="15.75" customHeight="1">
      <c r="A152" s="6">
        <v>151.0</v>
      </c>
      <c r="B152" s="7">
        <v>49460.0</v>
      </c>
      <c r="C152" s="8">
        <v>1.3</v>
      </c>
      <c r="D152" s="8">
        <v>80.9</v>
      </c>
      <c r="E152" s="8">
        <v>76.0</v>
      </c>
      <c r="F152" s="8">
        <v>1.3</v>
      </c>
      <c r="G152" s="8">
        <v>80.9</v>
      </c>
      <c r="H152" s="8">
        <v>76.0</v>
      </c>
      <c r="I152" s="8">
        <v>30.0</v>
      </c>
      <c r="J152" s="8">
        <v>17.3</v>
      </c>
      <c r="K152" s="8">
        <v>67.6</v>
      </c>
      <c r="L152" s="9">
        <f t="shared" si="1"/>
        <v>32.6</v>
      </c>
      <c r="M152" s="9">
        <f t="shared" si="2"/>
        <v>5.107024</v>
      </c>
      <c r="N152" s="9">
        <f t="shared" si="3"/>
        <v>32.6</v>
      </c>
      <c r="O152" s="9">
        <f t="shared" si="4"/>
        <v>42</v>
      </c>
      <c r="P152" s="9">
        <f t="shared" si="6"/>
        <v>64.8</v>
      </c>
      <c r="Q152" s="9">
        <f t="shared" ref="Q152:R152" si="150">average(L146:L152)</f>
        <v>39.42857143</v>
      </c>
      <c r="R152" s="9">
        <f t="shared" si="150"/>
        <v>10.82885543</v>
      </c>
      <c r="S152" s="11">
        <v>0.0</v>
      </c>
      <c r="T152" s="11">
        <v>38.09</v>
      </c>
      <c r="U152" s="12">
        <v>2.42</v>
      </c>
      <c r="V152" s="12">
        <v>815.9</v>
      </c>
      <c r="W152" s="12">
        <v>27.0</v>
      </c>
      <c r="X152" s="8">
        <v>5503.0</v>
      </c>
      <c r="Y152" s="8">
        <v>615.0</v>
      </c>
      <c r="Z152" s="8">
        <v>738.0</v>
      </c>
      <c r="AA152" s="8">
        <v>2.388</v>
      </c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 ht="15.75" customHeight="1">
      <c r="A153" s="6">
        <v>152.0</v>
      </c>
      <c r="B153" s="7">
        <v>49461.0</v>
      </c>
      <c r="C153" s="8">
        <v>4.3</v>
      </c>
      <c r="D153" s="8">
        <v>76.9</v>
      </c>
      <c r="E153" s="8">
        <v>70.0</v>
      </c>
      <c r="F153" s="8">
        <v>4.3</v>
      </c>
      <c r="G153" s="8">
        <v>76.9</v>
      </c>
      <c r="H153" s="8">
        <v>70.0</v>
      </c>
      <c r="I153" s="8">
        <v>20.0</v>
      </c>
      <c r="J153" s="8">
        <v>18.5</v>
      </c>
      <c r="K153" s="8">
        <v>83.7</v>
      </c>
      <c r="L153" s="9">
        <f t="shared" si="1"/>
        <v>28.6</v>
      </c>
      <c r="M153" s="9">
        <f t="shared" si="2"/>
        <v>7.72628</v>
      </c>
      <c r="N153" s="9">
        <f t="shared" si="3"/>
        <v>32.6</v>
      </c>
      <c r="O153" s="9">
        <f t="shared" si="4"/>
        <v>32.6</v>
      </c>
      <c r="P153" s="9">
        <f t="shared" si="6"/>
        <v>30</v>
      </c>
      <c r="Q153" s="9">
        <f t="shared" ref="Q153:R153" si="151">average(L147:L153)</f>
        <v>34.25714286</v>
      </c>
      <c r="R153" s="9">
        <f t="shared" si="151"/>
        <v>7.496133257</v>
      </c>
      <c r="S153" s="11">
        <v>0.0</v>
      </c>
      <c r="T153" s="11">
        <v>52.589999999999996</v>
      </c>
      <c r="U153" s="12">
        <v>2.37</v>
      </c>
      <c r="V153" s="12">
        <v>806.2</v>
      </c>
      <c r="W153" s="12">
        <v>30.0</v>
      </c>
      <c r="X153" s="8">
        <v>5360.0</v>
      </c>
      <c r="Y153" s="8">
        <v>555.0</v>
      </c>
      <c r="Z153" s="8">
        <v>495.0</v>
      </c>
      <c r="AA153" s="8">
        <v>2.301</v>
      </c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 ht="15.75" customHeight="1">
      <c r="A154" s="6">
        <v>153.0</v>
      </c>
      <c r="B154" s="7">
        <v>49462.0</v>
      </c>
      <c r="C154" s="8">
        <v>0.0</v>
      </c>
      <c r="D154" s="8">
        <v>81.0</v>
      </c>
      <c r="E154" s="8">
        <v>74.9</v>
      </c>
      <c r="F154" s="8">
        <v>0.0</v>
      </c>
      <c r="G154" s="8">
        <v>81.0</v>
      </c>
      <c r="H154" s="8">
        <v>74.9</v>
      </c>
      <c r="I154" s="8">
        <v>30.0</v>
      </c>
      <c r="J154" s="8">
        <v>22.2</v>
      </c>
      <c r="K154" s="8">
        <v>81.5</v>
      </c>
      <c r="L154" s="9">
        <f t="shared" si="1"/>
        <v>30</v>
      </c>
      <c r="M154" s="9">
        <f t="shared" si="2"/>
        <v>5.4279</v>
      </c>
      <c r="N154" s="9">
        <f t="shared" si="3"/>
        <v>28.6</v>
      </c>
      <c r="O154" s="9">
        <f t="shared" si="4"/>
        <v>32.6</v>
      </c>
      <c r="P154" s="9">
        <f t="shared" si="6"/>
        <v>30</v>
      </c>
      <c r="Q154" s="9">
        <f t="shared" ref="Q154:R154" si="152">average(L148:L154)</f>
        <v>34.25714286</v>
      </c>
      <c r="R154" s="9">
        <f t="shared" si="152"/>
        <v>7.573978971</v>
      </c>
      <c r="S154" s="11">
        <v>0.0</v>
      </c>
      <c r="T154" s="11">
        <v>53.32</v>
      </c>
      <c r="U154" s="12">
        <v>1.99</v>
      </c>
      <c r="V154" s="12">
        <v>815.9</v>
      </c>
      <c r="W154" s="12">
        <v>36.0</v>
      </c>
      <c r="X154" s="8">
        <v>5230.0</v>
      </c>
      <c r="Y154" s="8">
        <v>466.0</v>
      </c>
      <c r="Z154" s="8">
        <v>634.0</v>
      </c>
      <c r="AA154" s="8">
        <v>2.23</v>
      </c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 ht="15.75" customHeight="1">
      <c r="A155" s="6">
        <v>154.0</v>
      </c>
      <c r="B155" s="7">
        <v>49463.0</v>
      </c>
      <c r="C155" s="8">
        <v>0.0</v>
      </c>
      <c r="D155" s="8">
        <v>81.2</v>
      </c>
      <c r="E155" s="8">
        <v>74.9</v>
      </c>
      <c r="F155" s="8">
        <v>0.0</v>
      </c>
      <c r="G155" s="8">
        <v>81.2</v>
      </c>
      <c r="H155" s="8">
        <v>74.9</v>
      </c>
      <c r="I155" s="8">
        <v>30.0</v>
      </c>
      <c r="J155" s="8">
        <v>21.3</v>
      </c>
      <c r="K155" s="8">
        <v>84.2</v>
      </c>
      <c r="L155" s="9">
        <f t="shared" si="1"/>
        <v>30</v>
      </c>
      <c r="M155" s="9">
        <f t="shared" si="2"/>
        <v>5.38038</v>
      </c>
      <c r="N155" s="9">
        <f t="shared" si="3"/>
        <v>30</v>
      </c>
      <c r="O155" s="9">
        <f t="shared" si="4"/>
        <v>28.6</v>
      </c>
      <c r="P155" s="9">
        <f t="shared" si="6"/>
        <v>44</v>
      </c>
      <c r="Q155" s="9">
        <f t="shared" ref="Q155:R155" si="153">average(L149:L155)</f>
        <v>34.25714286</v>
      </c>
      <c r="R155" s="9">
        <f t="shared" si="153"/>
        <v>7.673056114</v>
      </c>
      <c r="S155" s="11">
        <v>0.0</v>
      </c>
      <c r="T155" s="11">
        <v>53.4175</v>
      </c>
      <c r="U155" s="12">
        <v>1.18</v>
      </c>
      <c r="V155" s="12">
        <v>757.8</v>
      </c>
      <c r="W155" s="12">
        <v>61.0</v>
      </c>
      <c r="X155" s="8">
        <v>0.0</v>
      </c>
      <c r="Y155" s="8">
        <v>275.0</v>
      </c>
      <c r="Z155" s="8">
        <v>135.0</v>
      </c>
      <c r="AA155" s="8">
        <v>0.876</v>
      </c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 ht="15.75" customHeight="1">
      <c r="A156" s="6">
        <v>155.0</v>
      </c>
      <c r="B156" s="7">
        <v>49464.0</v>
      </c>
      <c r="C156" s="8">
        <v>0.0</v>
      </c>
      <c r="D156" s="8">
        <v>80.5</v>
      </c>
      <c r="E156" s="8">
        <v>74.6</v>
      </c>
      <c r="F156" s="8">
        <v>0.0</v>
      </c>
      <c r="G156" s="8">
        <v>80.5</v>
      </c>
      <c r="H156" s="8">
        <v>74.6</v>
      </c>
      <c r="I156" s="8">
        <v>40.0</v>
      </c>
      <c r="J156" s="8">
        <v>21.3</v>
      </c>
      <c r="K156" s="8">
        <v>84.6</v>
      </c>
      <c r="L156" s="9">
        <f t="shared" si="1"/>
        <v>40</v>
      </c>
      <c r="M156" s="9">
        <f t="shared" si="2"/>
        <v>7.20792</v>
      </c>
      <c r="N156" s="9">
        <f t="shared" si="3"/>
        <v>30</v>
      </c>
      <c r="O156" s="9">
        <f t="shared" si="4"/>
        <v>30</v>
      </c>
      <c r="P156" s="9">
        <f t="shared" si="6"/>
        <v>42</v>
      </c>
      <c r="Q156" s="9">
        <f t="shared" ref="Q156:R156" si="154">average(L150:L156)</f>
        <v>33.68571429</v>
      </c>
      <c r="R156" s="9">
        <f t="shared" si="154"/>
        <v>6.905026971</v>
      </c>
      <c r="S156" s="11">
        <v>0.0</v>
      </c>
      <c r="T156" s="11">
        <v>53.38</v>
      </c>
      <c r="U156" s="12">
        <v>3.02</v>
      </c>
      <c r="V156" s="12">
        <v>840.1</v>
      </c>
      <c r="W156" s="12">
        <v>23.0</v>
      </c>
      <c r="X156" s="8">
        <v>0.0</v>
      </c>
      <c r="Y156" s="8">
        <v>736.0</v>
      </c>
      <c r="Z156" s="8">
        <v>490.0</v>
      </c>
      <c r="AA156" s="8">
        <v>3.363</v>
      </c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 ht="15.75" customHeight="1">
      <c r="A157" s="6">
        <v>156.0</v>
      </c>
      <c r="B157" s="7">
        <v>49465.0</v>
      </c>
      <c r="C157" s="8">
        <v>3.5</v>
      </c>
      <c r="D157" s="8">
        <v>43.5</v>
      </c>
      <c r="E157" s="8">
        <v>41.4</v>
      </c>
      <c r="F157" s="8">
        <v>3.5</v>
      </c>
      <c r="G157" s="8">
        <v>43.5</v>
      </c>
      <c r="H157" s="8">
        <v>41.4</v>
      </c>
      <c r="I157" s="8">
        <v>45.0</v>
      </c>
      <c r="J157" s="8">
        <v>19.4</v>
      </c>
      <c r="K157" s="8">
        <v>73.8</v>
      </c>
      <c r="L157" s="9">
        <f t="shared" si="1"/>
        <v>52</v>
      </c>
      <c r="M157" s="9">
        <f t="shared" si="2"/>
        <v>7.70337</v>
      </c>
      <c r="N157" s="9">
        <f t="shared" si="3"/>
        <v>40</v>
      </c>
      <c r="O157" s="9">
        <f t="shared" si="4"/>
        <v>30</v>
      </c>
      <c r="P157" s="9">
        <f t="shared" si="6"/>
        <v>32.6</v>
      </c>
      <c r="Q157" s="9">
        <f t="shared" ref="Q157:R157" si="155">average(L151:L157)</f>
        <v>35.11428571</v>
      </c>
      <c r="R157" s="9">
        <f t="shared" si="155"/>
        <v>6.277528971</v>
      </c>
      <c r="S157" s="11">
        <v>0.0</v>
      </c>
      <c r="T157" s="11">
        <v>53.185</v>
      </c>
      <c r="U157" s="12">
        <v>3.12</v>
      </c>
      <c r="V157" s="12">
        <v>835.2</v>
      </c>
      <c r="W157" s="12">
        <v>22.0</v>
      </c>
      <c r="X157" s="8">
        <v>0.0</v>
      </c>
      <c r="Y157" s="8">
        <v>751.0</v>
      </c>
      <c r="Z157" s="8">
        <v>458.0</v>
      </c>
      <c r="AA157" s="8">
        <v>2.229</v>
      </c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 ht="15.75" customHeight="1">
      <c r="A158" s="6">
        <v>157.0</v>
      </c>
      <c r="B158" s="7">
        <v>49466.0</v>
      </c>
      <c r="C158" s="8">
        <v>9.5</v>
      </c>
      <c r="D158" s="8">
        <v>43.5</v>
      </c>
      <c r="E158" s="8">
        <v>41.3</v>
      </c>
      <c r="F158" s="8">
        <v>9.5</v>
      </c>
      <c r="G158" s="8">
        <v>43.5</v>
      </c>
      <c r="H158" s="8">
        <v>41.3</v>
      </c>
      <c r="I158" s="8">
        <v>30.0</v>
      </c>
      <c r="J158" s="8">
        <v>18.9</v>
      </c>
      <c r="K158" s="8">
        <v>81.8</v>
      </c>
      <c r="L158" s="9">
        <f t="shared" si="1"/>
        <v>49</v>
      </c>
      <c r="M158" s="9">
        <f t="shared" si="2"/>
        <v>8.051505</v>
      </c>
      <c r="N158" s="9">
        <f t="shared" si="3"/>
        <v>52</v>
      </c>
      <c r="O158" s="9">
        <f t="shared" si="4"/>
        <v>40</v>
      </c>
      <c r="P158" s="9">
        <f t="shared" si="6"/>
        <v>32.6</v>
      </c>
      <c r="Q158" s="9">
        <f t="shared" ref="Q158:R158" si="156">average(L152:L158)</f>
        <v>37.45714286</v>
      </c>
      <c r="R158" s="9">
        <f t="shared" si="156"/>
        <v>6.657768429</v>
      </c>
      <c r="S158" s="11">
        <v>0.0</v>
      </c>
      <c r="T158" s="11">
        <v>53.4325</v>
      </c>
      <c r="U158" s="12">
        <v>0.7</v>
      </c>
      <c r="V158" s="12">
        <v>748.1</v>
      </c>
      <c r="W158" s="12">
        <v>24.0</v>
      </c>
      <c r="X158" s="8">
        <v>0.0</v>
      </c>
      <c r="Y158" s="8">
        <v>691.0</v>
      </c>
      <c r="Z158" s="8">
        <v>362.0</v>
      </c>
      <c r="AA158" s="8">
        <v>2.315</v>
      </c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 ht="15.75" customHeight="1">
      <c r="A159" s="6">
        <v>158.0</v>
      </c>
      <c r="B159" s="7">
        <v>49467.0</v>
      </c>
      <c r="C159" s="8">
        <v>14.1</v>
      </c>
      <c r="D159" s="8">
        <v>87.3</v>
      </c>
      <c r="E159" s="8">
        <v>41.5</v>
      </c>
      <c r="F159" s="8">
        <v>14.1</v>
      </c>
      <c r="G159" s="8">
        <v>87.3</v>
      </c>
      <c r="H159" s="8">
        <v>41.5</v>
      </c>
      <c r="I159" s="8">
        <v>10.0</v>
      </c>
      <c r="J159" s="8">
        <v>21.9</v>
      </c>
      <c r="K159" s="8">
        <v>84.4</v>
      </c>
      <c r="L159" s="9">
        <f t="shared" si="1"/>
        <v>38.2</v>
      </c>
      <c r="M159" s="9">
        <f t="shared" si="2"/>
        <v>12.065079</v>
      </c>
      <c r="N159" s="9">
        <f t="shared" si="3"/>
        <v>49</v>
      </c>
      <c r="O159" s="9">
        <f t="shared" si="4"/>
        <v>52</v>
      </c>
      <c r="P159" s="9">
        <f t="shared" si="6"/>
        <v>28.6</v>
      </c>
      <c r="Q159" s="9">
        <f t="shared" ref="Q159:R159" si="157">average(L153:L159)</f>
        <v>38.25714286</v>
      </c>
      <c r="R159" s="9">
        <f t="shared" si="157"/>
        <v>7.651776286</v>
      </c>
      <c r="S159" s="11">
        <v>0.0</v>
      </c>
      <c r="T159" s="11">
        <v>53.5375</v>
      </c>
      <c r="U159" s="12">
        <v>2.18</v>
      </c>
      <c r="V159" s="12">
        <v>806.2</v>
      </c>
      <c r="W159" s="12">
        <v>31.0</v>
      </c>
      <c r="X159" s="8">
        <v>5492.0</v>
      </c>
      <c r="Y159" s="8">
        <v>545.0</v>
      </c>
      <c r="Z159" s="8">
        <v>395.0</v>
      </c>
      <c r="AA159" s="8">
        <v>2.301</v>
      </c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 ht="15.75" customHeight="1">
      <c r="A160" s="6">
        <v>159.0</v>
      </c>
      <c r="B160" s="7">
        <v>49468.0</v>
      </c>
      <c r="C160" s="8">
        <v>4.0</v>
      </c>
      <c r="D160" s="8">
        <v>0.0</v>
      </c>
      <c r="E160" s="8">
        <v>54.7</v>
      </c>
      <c r="F160" s="8">
        <v>4.0</v>
      </c>
      <c r="G160" s="8">
        <v>0.0</v>
      </c>
      <c r="H160" s="8">
        <v>54.7</v>
      </c>
      <c r="I160" s="8">
        <v>20.0</v>
      </c>
      <c r="J160" s="8">
        <v>26.5</v>
      </c>
      <c r="K160" s="8">
        <v>78.9</v>
      </c>
      <c r="L160" s="9">
        <f t="shared" si="1"/>
        <v>28</v>
      </c>
      <c r="M160" s="9">
        <f t="shared" si="2"/>
        <v>4.1817</v>
      </c>
      <c r="N160" s="9">
        <f t="shared" si="3"/>
        <v>38.2</v>
      </c>
      <c r="O160" s="9">
        <f t="shared" si="4"/>
        <v>49</v>
      </c>
      <c r="P160" s="9">
        <f t="shared" si="6"/>
        <v>30</v>
      </c>
      <c r="Q160" s="9">
        <f t="shared" ref="Q160:R160" si="158">average(L154:L160)</f>
        <v>38.17142857</v>
      </c>
      <c r="R160" s="9">
        <f t="shared" si="158"/>
        <v>7.145407714</v>
      </c>
      <c r="S160" s="11">
        <v>0.0</v>
      </c>
      <c r="T160" s="11">
        <v>53.574999999999996</v>
      </c>
      <c r="U160" s="12">
        <v>2.03</v>
      </c>
      <c r="V160" s="12">
        <v>786.8</v>
      </c>
      <c r="W160" s="12">
        <v>35.0</v>
      </c>
      <c r="X160" s="8">
        <v>5119.0</v>
      </c>
      <c r="Y160" s="8">
        <v>476.0</v>
      </c>
      <c r="Z160" s="8">
        <v>269.0</v>
      </c>
      <c r="AA160" s="8">
        <v>2.337</v>
      </c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ht="15.75" customHeight="1">
      <c r="A161" s="6">
        <v>160.0</v>
      </c>
      <c r="B161" s="7">
        <v>49469.0</v>
      </c>
      <c r="C161" s="8">
        <v>23.8</v>
      </c>
      <c r="D161" s="8">
        <v>89.9</v>
      </c>
      <c r="E161" s="8">
        <v>82.9</v>
      </c>
      <c r="F161" s="8">
        <v>23.8</v>
      </c>
      <c r="G161" s="8">
        <v>89.9</v>
      </c>
      <c r="H161" s="8">
        <v>82.9</v>
      </c>
      <c r="I161" s="8">
        <v>10.0</v>
      </c>
      <c r="J161" s="8">
        <v>21.5</v>
      </c>
      <c r="K161" s="8">
        <v>83.0</v>
      </c>
      <c r="L161" s="9">
        <f t="shared" si="1"/>
        <v>57.6</v>
      </c>
      <c r="M161" s="9">
        <f t="shared" si="2"/>
        <v>37.2593996</v>
      </c>
      <c r="N161" s="9">
        <f t="shared" si="3"/>
        <v>28</v>
      </c>
      <c r="O161" s="9">
        <f t="shared" si="4"/>
        <v>38.2</v>
      </c>
      <c r="P161" s="9">
        <f t="shared" si="6"/>
        <v>30</v>
      </c>
      <c r="Q161" s="9">
        <f t="shared" ref="Q161:R161" si="159">average(L155:L161)</f>
        <v>42.11428571</v>
      </c>
      <c r="R161" s="9">
        <f t="shared" si="159"/>
        <v>11.6927648</v>
      </c>
      <c r="S161" s="11">
        <v>0.0</v>
      </c>
      <c r="T161" s="11">
        <v>53.925</v>
      </c>
      <c r="U161" s="12">
        <v>2.19</v>
      </c>
      <c r="V161" s="12">
        <v>748.1</v>
      </c>
      <c r="W161" s="12">
        <v>34.0</v>
      </c>
      <c r="X161" s="8">
        <v>4991.0</v>
      </c>
      <c r="Y161" s="8">
        <v>500.0</v>
      </c>
      <c r="Z161" s="8">
        <v>184.0</v>
      </c>
      <c r="AA161" s="8">
        <v>2.116</v>
      </c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 ht="15.75" customHeight="1">
      <c r="A162" s="6">
        <v>161.0</v>
      </c>
      <c r="B162" s="7">
        <v>49470.0</v>
      </c>
      <c r="C162" s="8">
        <v>17.2</v>
      </c>
      <c r="D162" s="8">
        <v>74.9</v>
      </c>
      <c r="E162" s="8">
        <v>82.2</v>
      </c>
      <c r="F162" s="8">
        <v>17.2</v>
      </c>
      <c r="G162" s="8">
        <v>74.9</v>
      </c>
      <c r="H162" s="8">
        <v>82.2</v>
      </c>
      <c r="I162" s="8">
        <v>40.0</v>
      </c>
      <c r="J162" s="8">
        <v>22.6</v>
      </c>
      <c r="K162" s="8">
        <v>84.1</v>
      </c>
      <c r="L162" s="9">
        <f t="shared" si="1"/>
        <v>74.4</v>
      </c>
      <c r="M162" s="9">
        <f t="shared" si="2"/>
        <v>28.7819632</v>
      </c>
      <c r="N162" s="9">
        <f t="shared" si="3"/>
        <v>57.6</v>
      </c>
      <c r="O162" s="9">
        <f t="shared" si="4"/>
        <v>28</v>
      </c>
      <c r="P162" s="9">
        <f t="shared" si="6"/>
        <v>40</v>
      </c>
      <c r="Q162" s="9">
        <f t="shared" ref="Q162:R162" si="160">average(L156:L162)</f>
        <v>48.45714286</v>
      </c>
      <c r="R162" s="9">
        <f t="shared" si="160"/>
        <v>15.03584811</v>
      </c>
      <c r="S162" s="11">
        <v>0.0</v>
      </c>
      <c r="T162" s="11">
        <v>53.5925</v>
      </c>
      <c r="U162" s="12">
        <v>2.91</v>
      </c>
      <c r="V162" s="12">
        <v>796.5</v>
      </c>
      <c r="W162" s="12">
        <v>27.0</v>
      </c>
      <c r="X162" s="8">
        <v>5293.0</v>
      </c>
      <c r="Y162" s="8">
        <v>628.0</v>
      </c>
      <c r="Z162" s="8">
        <v>253.0</v>
      </c>
      <c r="AA162" s="8">
        <v>2.219</v>
      </c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 ht="15.75" customHeight="1">
      <c r="A163" s="6">
        <v>162.0</v>
      </c>
      <c r="B163" s="7">
        <v>49471.0</v>
      </c>
      <c r="C163" s="8">
        <v>20.7</v>
      </c>
      <c r="D163" s="8">
        <v>76.6</v>
      </c>
      <c r="E163" s="8">
        <v>82.6</v>
      </c>
      <c r="F163" s="8">
        <v>20.7</v>
      </c>
      <c r="G163" s="8">
        <v>76.6</v>
      </c>
      <c r="H163" s="8">
        <v>82.6</v>
      </c>
      <c r="I163" s="8">
        <v>45.0</v>
      </c>
      <c r="J163" s="8">
        <v>22.5</v>
      </c>
      <c r="K163" s="8">
        <v>86.3</v>
      </c>
      <c r="L163" s="9">
        <f t="shared" si="1"/>
        <v>86.4</v>
      </c>
      <c r="M163" s="9">
        <f t="shared" si="2"/>
        <v>34.9323174</v>
      </c>
      <c r="N163" s="9">
        <f t="shared" si="3"/>
        <v>74.4</v>
      </c>
      <c r="O163" s="9">
        <f t="shared" si="4"/>
        <v>57.6</v>
      </c>
      <c r="P163" s="9">
        <f t="shared" si="6"/>
        <v>52</v>
      </c>
      <c r="Q163" s="9">
        <f t="shared" ref="Q163:R163" si="161">average(L157:L163)</f>
        <v>55.08571429</v>
      </c>
      <c r="R163" s="9">
        <f t="shared" si="161"/>
        <v>18.99647631</v>
      </c>
      <c r="S163" s="11">
        <v>0.0</v>
      </c>
      <c r="T163" s="11">
        <v>53.6425</v>
      </c>
      <c r="U163" s="12">
        <v>2.71</v>
      </c>
      <c r="V163" s="12">
        <v>806.2</v>
      </c>
      <c r="W163" s="12">
        <v>31.0</v>
      </c>
      <c r="X163" s="8">
        <v>5631.0</v>
      </c>
      <c r="Y163" s="8">
        <v>543.0</v>
      </c>
      <c r="Z163" s="8">
        <v>282.0</v>
      </c>
      <c r="AA163" s="8">
        <v>2.512</v>
      </c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ht="15.75" customHeight="1">
      <c r="A164" s="6">
        <v>163.0</v>
      </c>
      <c r="B164" s="7">
        <v>49472.0</v>
      </c>
      <c r="C164" s="8">
        <v>13.2</v>
      </c>
      <c r="D164" s="8">
        <v>90.0</v>
      </c>
      <c r="E164" s="8">
        <v>83.1</v>
      </c>
      <c r="F164" s="8">
        <v>13.2</v>
      </c>
      <c r="G164" s="8">
        <v>90.0</v>
      </c>
      <c r="H164" s="8">
        <v>83.1</v>
      </c>
      <c r="I164" s="8">
        <v>40.0</v>
      </c>
      <c r="J164" s="8">
        <v>17.4</v>
      </c>
      <c r="K164" s="8">
        <v>81.7</v>
      </c>
      <c r="L164" s="9">
        <f t="shared" si="1"/>
        <v>66.4</v>
      </c>
      <c r="M164" s="9">
        <f t="shared" si="2"/>
        <v>25.43088</v>
      </c>
      <c r="N164" s="9">
        <f t="shared" si="3"/>
        <v>86.4</v>
      </c>
      <c r="O164" s="9">
        <f t="shared" si="4"/>
        <v>74.4</v>
      </c>
      <c r="P164" s="9">
        <f t="shared" si="6"/>
        <v>49</v>
      </c>
      <c r="Q164" s="9">
        <f t="shared" ref="Q164:R164" si="162">average(L158:L164)</f>
        <v>57.14285714</v>
      </c>
      <c r="R164" s="9">
        <f t="shared" si="162"/>
        <v>21.52897774</v>
      </c>
      <c r="S164" s="11">
        <v>0.0</v>
      </c>
      <c r="T164" s="11">
        <v>53.7925</v>
      </c>
      <c r="U164" s="12">
        <v>2.55</v>
      </c>
      <c r="V164" s="12">
        <v>738.4</v>
      </c>
      <c r="W164" s="12">
        <v>33.0</v>
      </c>
      <c r="X164" s="8">
        <v>5343.0</v>
      </c>
      <c r="Y164" s="8">
        <v>506.0</v>
      </c>
      <c r="Z164" s="8">
        <v>237.0</v>
      </c>
      <c r="AA164" s="8">
        <v>2.322</v>
      </c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 ht="15.75" customHeight="1">
      <c r="A165" s="6">
        <v>164.0</v>
      </c>
      <c r="B165" s="7">
        <v>49473.0</v>
      </c>
      <c r="C165" s="8">
        <v>20.8</v>
      </c>
      <c r="D165" s="8">
        <v>88.7</v>
      </c>
      <c r="E165" s="8">
        <v>81.32</v>
      </c>
      <c r="F165" s="8">
        <v>20.8</v>
      </c>
      <c r="G165" s="8">
        <v>88.7</v>
      </c>
      <c r="H165" s="8">
        <v>81.32</v>
      </c>
      <c r="I165" s="8">
        <v>30.0</v>
      </c>
      <c r="J165" s="8">
        <v>19.8</v>
      </c>
      <c r="K165" s="8">
        <v>85.3</v>
      </c>
      <c r="L165" s="9">
        <f t="shared" si="1"/>
        <v>71.6</v>
      </c>
      <c r="M165" s="9">
        <f t="shared" si="2"/>
        <v>35.07324944</v>
      </c>
      <c r="N165" s="9">
        <f t="shared" si="3"/>
        <v>66.4</v>
      </c>
      <c r="O165" s="9">
        <f t="shared" si="4"/>
        <v>86.4</v>
      </c>
      <c r="P165" s="9">
        <f t="shared" si="6"/>
        <v>38.2</v>
      </c>
      <c r="Q165" s="9">
        <f t="shared" ref="Q165:R165" si="163">average(L159:L165)</f>
        <v>60.37142857</v>
      </c>
      <c r="R165" s="9">
        <f t="shared" si="163"/>
        <v>25.38922695</v>
      </c>
      <c r="S165" s="11">
        <v>0.0</v>
      </c>
      <c r="T165" s="11">
        <v>53.975</v>
      </c>
      <c r="U165" s="12">
        <v>1.74</v>
      </c>
      <c r="V165" s="12">
        <v>719.0</v>
      </c>
      <c r="W165" s="12">
        <v>52.0</v>
      </c>
      <c r="X165" s="8">
        <v>4836.0</v>
      </c>
      <c r="Y165" s="8">
        <v>324.0</v>
      </c>
      <c r="Z165" s="8">
        <v>330.0</v>
      </c>
      <c r="AA165" s="8">
        <v>2.086</v>
      </c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 ht="15.75" customHeight="1">
      <c r="A166" s="6">
        <v>165.0</v>
      </c>
      <c r="B166" s="7">
        <v>49474.0</v>
      </c>
      <c r="C166" s="8">
        <v>18.2</v>
      </c>
      <c r="D166" s="8">
        <v>90.61</v>
      </c>
      <c r="E166" s="8">
        <v>83.24</v>
      </c>
      <c r="F166" s="8">
        <v>18.2</v>
      </c>
      <c r="G166" s="8">
        <v>90.61</v>
      </c>
      <c r="H166" s="8">
        <v>83.24</v>
      </c>
      <c r="I166" s="8">
        <v>30.0</v>
      </c>
      <c r="J166" s="8">
        <v>15.2</v>
      </c>
      <c r="K166" s="8">
        <v>82.5</v>
      </c>
      <c r="L166" s="9">
        <f t="shared" si="1"/>
        <v>66.4</v>
      </c>
      <c r="M166" s="9">
        <f t="shared" si="2"/>
        <v>31.2162501</v>
      </c>
      <c r="N166" s="9">
        <f t="shared" si="3"/>
        <v>71.6</v>
      </c>
      <c r="O166" s="9">
        <f t="shared" si="4"/>
        <v>66.4</v>
      </c>
      <c r="P166" s="9">
        <f t="shared" si="6"/>
        <v>28</v>
      </c>
      <c r="Q166" s="9">
        <f t="shared" ref="Q166:R166" si="164">average(L160:L166)</f>
        <v>64.4</v>
      </c>
      <c r="R166" s="9">
        <f t="shared" si="164"/>
        <v>28.12510853</v>
      </c>
      <c r="S166" s="11">
        <v>0.0</v>
      </c>
      <c r="T166" s="11">
        <v>53.915</v>
      </c>
      <c r="U166" s="12">
        <v>2.48</v>
      </c>
      <c r="V166" s="12">
        <v>728.7</v>
      </c>
      <c r="W166" s="12">
        <v>32.0</v>
      </c>
      <c r="X166" s="8">
        <v>4991.0</v>
      </c>
      <c r="Y166" s="8">
        <v>526.0</v>
      </c>
      <c r="Z166" s="8">
        <v>333.0</v>
      </c>
      <c r="AA166" s="8">
        <v>2.212</v>
      </c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 ht="15.75" customHeight="1">
      <c r="A167" s="6">
        <v>166.0</v>
      </c>
      <c r="B167" s="7">
        <v>49475.0</v>
      </c>
      <c r="C167" s="8">
        <v>5.0</v>
      </c>
      <c r="D167" s="8">
        <v>88.4</v>
      </c>
      <c r="E167" s="8">
        <v>83.31</v>
      </c>
      <c r="F167" s="8">
        <v>5.0</v>
      </c>
      <c r="G167" s="8">
        <v>88.4</v>
      </c>
      <c r="H167" s="8">
        <v>83.31</v>
      </c>
      <c r="I167" s="8">
        <v>10.0</v>
      </c>
      <c r="J167" s="8">
        <v>15.6</v>
      </c>
      <c r="K167" s="8">
        <v>84.3</v>
      </c>
      <c r="L167" s="9">
        <f t="shared" si="1"/>
        <v>20</v>
      </c>
      <c r="M167" s="9">
        <f t="shared" si="2"/>
        <v>8.679684</v>
      </c>
      <c r="N167" s="9">
        <f t="shared" si="3"/>
        <v>66.4</v>
      </c>
      <c r="O167" s="9">
        <f t="shared" si="4"/>
        <v>71.6</v>
      </c>
      <c r="P167" s="9">
        <f t="shared" si="6"/>
        <v>57.6</v>
      </c>
      <c r="Q167" s="9">
        <f t="shared" ref="Q167:R167" si="165">average(L161:L167)</f>
        <v>63.25714286</v>
      </c>
      <c r="R167" s="9">
        <f t="shared" si="165"/>
        <v>28.76767768</v>
      </c>
      <c r="S167" s="11">
        <v>0.0</v>
      </c>
      <c r="T167" s="11">
        <v>53.935</v>
      </c>
      <c r="U167" s="12">
        <v>0.66</v>
      </c>
      <c r="V167" s="12">
        <v>738.4</v>
      </c>
      <c r="W167" s="12">
        <v>94.0</v>
      </c>
      <c r="X167" s="8">
        <v>1487.0</v>
      </c>
      <c r="Y167" s="8">
        <v>179.0</v>
      </c>
      <c r="Z167" s="8">
        <v>90.0</v>
      </c>
      <c r="AA167" s="8">
        <v>0.633</v>
      </c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ht="15.75" customHeight="1">
      <c r="A168" s="6">
        <v>167.0</v>
      </c>
      <c r="B168" s="7">
        <v>49476.0</v>
      </c>
      <c r="C168" s="8">
        <v>6.3</v>
      </c>
      <c r="D168" s="8">
        <v>88.58</v>
      </c>
      <c r="E168" s="8">
        <v>83.08</v>
      </c>
      <c r="F168" s="8">
        <v>6.3</v>
      </c>
      <c r="G168" s="8">
        <v>88.58</v>
      </c>
      <c r="H168" s="8">
        <v>83.08</v>
      </c>
      <c r="I168" s="8">
        <v>30.0</v>
      </c>
      <c r="J168" s="8">
        <v>16.2</v>
      </c>
      <c r="K168" s="8">
        <v>81.4</v>
      </c>
      <c r="L168" s="9">
        <f t="shared" si="1"/>
        <v>42.6</v>
      </c>
      <c r="M168" s="9">
        <f t="shared" si="2"/>
        <v>13.22866526</v>
      </c>
      <c r="N168" s="9">
        <f t="shared" si="3"/>
        <v>20</v>
      </c>
      <c r="O168" s="9">
        <f t="shared" si="4"/>
        <v>66.4</v>
      </c>
      <c r="P168" s="9">
        <f t="shared" si="6"/>
        <v>74.4</v>
      </c>
      <c r="Q168" s="9">
        <f t="shared" ref="Q168:R168" si="166">average(L162:L168)</f>
        <v>61.11428571</v>
      </c>
      <c r="R168" s="9">
        <f t="shared" si="166"/>
        <v>25.33471563</v>
      </c>
      <c r="S168" s="11">
        <v>0.0</v>
      </c>
      <c r="T168" s="11">
        <v>53.565</v>
      </c>
      <c r="U168" s="12">
        <v>1.62</v>
      </c>
      <c r="V168" s="12">
        <v>757.8</v>
      </c>
      <c r="W168" s="12">
        <v>44.0</v>
      </c>
      <c r="X168" s="8">
        <v>7573.0</v>
      </c>
      <c r="Y168" s="8">
        <v>387.0</v>
      </c>
      <c r="Z168" s="8">
        <v>300.0</v>
      </c>
      <c r="AA168" s="8">
        <v>3.145</v>
      </c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 ht="15.75" customHeight="1">
      <c r="A169" s="6">
        <v>168.0</v>
      </c>
      <c r="B169" s="7">
        <v>49477.0</v>
      </c>
      <c r="C169" s="8">
        <v>24.8</v>
      </c>
      <c r="D169" s="8">
        <v>88.22</v>
      </c>
      <c r="E169" s="8">
        <v>83.04</v>
      </c>
      <c r="F169" s="8">
        <v>24.8</v>
      </c>
      <c r="G169" s="8">
        <v>88.22</v>
      </c>
      <c r="H169" s="8">
        <v>83.04</v>
      </c>
      <c r="I169" s="8">
        <v>20.0</v>
      </c>
      <c r="J169" s="8">
        <v>17.5</v>
      </c>
      <c r="K169" s="8">
        <v>82.8</v>
      </c>
      <c r="L169" s="9">
        <f t="shared" si="1"/>
        <v>69.6</v>
      </c>
      <c r="M169" s="9">
        <f t="shared" si="2"/>
        <v>39.23391245</v>
      </c>
      <c r="N169" s="9">
        <f t="shared" si="3"/>
        <v>42.6</v>
      </c>
      <c r="O169" s="9">
        <f t="shared" si="4"/>
        <v>20</v>
      </c>
      <c r="P169" s="9">
        <f t="shared" si="6"/>
        <v>86.4</v>
      </c>
      <c r="Q169" s="9">
        <f t="shared" ref="Q169:R169" si="167">average(L163:L169)</f>
        <v>60.42857143</v>
      </c>
      <c r="R169" s="9">
        <f t="shared" si="167"/>
        <v>26.82785124</v>
      </c>
      <c r="S169" s="11">
        <v>0.0</v>
      </c>
      <c r="T169" s="11">
        <v>54.11</v>
      </c>
      <c r="U169" s="12">
        <v>1.51</v>
      </c>
      <c r="V169" s="12">
        <v>748.1</v>
      </c>
      <c r="W169" s="12">
        <v>41.0</v>
      </c>
      <c r="X169" s="8">
        <v>4433.0</v>
      </c>
      <c r="Y169" s="8">
        <v>415.0</v>
      </c>
      <c r="Z169" s="8">
        <v>443.0</v>
      </c>
      <c r="AA169" s="8">
        <v>1.769</v>
      </c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 ht="15.75" customHeight="1">
      <c r="A170" s="6">
        <v>169.0</v>
      </c>
      <c r="B170" s="7">
        <v>49478.0</v>
      </c>
      <c r="C170" s="8">
        <v>12.5</v>
      </c>
      <c r="D170" s="8">
        <v>88.5</v>
      </c>
      <c r="E170" s="8">
        <v>83.57</v>
      </c>
      <c r="F170" s="8">
        <v>12.5</v>
      </c>
      <c r="G170" s="8">
        <v>88.5</v>
      </c>
      <c r="H170" s="8">
        <v>83.57</v>
      </c>
      <c r="I170" s="8">
        <v>20.0</v>
      </c>
      <c r="J170" s="8">
        <v>17.5</v>
      </c>
      <c r="K170" s="8">
        <v>82.8</v>
      </c>
      <c r="L170" s="9">
        <f t="shared" si="1"/>
        <v>45</v>
      </c>
      <c r="M170" s="9">
        <f t="shared" si="2"/>
        <v>21.3878625</v>
      </c>
      <c r="N170" s="9">
        <f t="shared" si="3"/>
        <v>69.6</v>
      </c>
      <c r="O170" s="9">
        <f t="shared" si="4"/>
        <v>42.6</v>
      </c>
      <c r="P170" s="9">
        <f t="shared" si="6"/>
        <v>66.4</v>
      </c>
      <c r="Q170" s="9">
        <f t="shared" ref="Q170:R170" si="168">average(L164:L170)</f>
        <v>54.51428571</v>
      </c>
      <c r="R170" s="9">
        <f t="shared" si="168"/>
        <v>24.89292911</v>
      </c>
      <c r="S170" s="11">
        <v>0.0</v>
      </c>
      <c r="T170" s="11">
        <v>54.11</v>
      </c>
      <c r="U170" s="12">
        <v>1.5</v>
      </c>
      <c r="V170" s="12">
        <v>748.1</v>
      </c>
      <c r="W170" s="12">
        <v>27.0</v>
      </c>
      <c r="X170" s="8">
        <v>4578.0</v>
      </c>
      <c r="Y170" s="8">
        <v>413.0</v>
      </c>
      <c r="Z170" s="8">
        <v>414.0</v>
      </c>
      <c r="AA170" s="8">
        <v>1.769</v>
      </c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ht="15.75" customHeight="1">
      <c r="A171" s="6">
        <v>170.0</v>
      </c>
      <c r="B171" s="7">
        <v>49479.0</v>
      </c>
      <c r="C171" s="8">
        <v>14.8</v>
      </c>
      <c r="D171" s="8">
        <v>88.26</v>
      </c>
      <c r="E171" s="8">
        <v>83.12</v>
      </c>
      <c r="F171" s="8">
        <v>14.8</v>
      </c>
      <c r="G171" s="8">
        <v>88.26</v>
      </c>
      <c r="H171" s="8">
        <v>83.12</v>
      </c>
      <c r="I171" s="8">
        <v>85.0</v>
      </c>
      <c r="J171" s="8">
        <v>17.5</v>
      </c>
      <c r="K171" s="8">
        <v>82.8</v>
      </c>
      <c r="L171" s="9">
        <f t="shared" si="1"/>
        <v>114.6</v>
      </c>
      <c r="M171" s="9">
        <f t="shared" si="2"/>
        <v>34.03156675</v>
      </c>
      <c r="N171" s="9">
        <f t="shared" si="3"/>
        <v>45</v>
      </c>
      <c r="O171" s="9">
        <f t="shared" si="4"/>
        <v>69.6</v>
      </c>
      <c r="P171" s="9">
        <f t="shared" si="6"/>
        <v>71.6</v>
      </c>
      <c r="Q171" s="9">
        <f t="shared" ref="Q171:R171" si="169">average(L165:L171)</f>
        <v>61.4</v>
      </c>
      <c r="R171" s="9">
        <f t="shared" si="169"/>
        <v>26.12159864</v>
      </c>
      <c r="S171" s="11">
        <v>0.0</v>
      </c>
      <c r="T171" s="11">
        <v>54.11</v>
      </c>
      <c r="U171" s="12">
        <v>1.53</v>
      </c>
      <c r="V171" s="12">
        <v>748.1</v>
      </c>
      <c r="W171" s="12">
        <v>26.0</v>
      </c>
      <c r="X171" s="8">
        <v>4174.0</v>
      </c>
      <c r="Y171" s="8">
        <v>433.0</v>
      </c>
      <c r="Z171" s="8">
        <v>422.0</v>
      </c>
      <c r="AA171" s="8">
        <v>1.735</v>
      </c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 ht="15.75" customHeight="1">
      <c r="A172" s="6">
        <v>171.0</v>
      </c>
      <c r="B172" s="7">
        <v>49480.0</v>
      </c>
      <c r="C172" s="8">
        <v>20.8</v>
      </c>
      <c r="D172" s="8">
        <v>87.4</v>
      </c>
      <c r="E172" s="8">
        <v>77.42</v>
      </c>
      <c r="F172" s="8">
        <v>20.8</v>
      </c>
      <c r="G172" s="8">
        <v>87.4</v>
      </c>
      <c r="H172" s="8">
        <v>77.42</v>
      </c>
      <c r="I172" s="8">
        <v>100.0</v>
      </c>
      <c r="J172" s="8">
        <v>19.9</v>
      </c>
      <c r="K172" s="8">
        <v>82.5</v>
      </c>
      <c r="L172" s="9">
        <f t="shared" si="1"/>
        <v>141.6</v>
      </c>
      <c r="M172" s="9">
        <f t="shared" si="2"/>
        <v>44.56617328</v>
      </c>
      <c r="N172" s="9">
        <f t="shared" si="3"/>
        <v>114.6</v>
      </c>
      <c r="O172" s="9">
        <f t="shared" si="4"/>
        <v>45</v>
      </c>
      <c r="P172" s="9">
        <f t="shared" si="6"/>
        <v>66.4</v>
      </c>
      <c r="Q172" s="9">
        <f t="shared" ref="Q172:R172" si="170">average(L166:L172)</f>
        <v>71.4</v>
      </c>
      <c r="R172" s="9">
        <f t="shared" si="170"/>
        <v>27.47773062</v>
      </c>
      <c r="S172" s="11">
        <v>0.0</v>
      </c>
      <c r="T172" s="11">
        <v>53.9</v>
      </c>
      <c r="U172" s="12">
        <v>2.25</v>
      </c>
      <c r="V172" s="12">
        <v>874.0</v>
      </c>
      <c r="W172" s="12">
        <v>22.0</v>
      </c>
      <c r="X172" s="8">
        <v>4169.0</v>
      </c>
      <c r="Y172" s="8">
        <v>501.0</v>
      </c>
      <c r="Z172" s="8">
        <v>484.0</v>
      </c>
      <c r="AA172" s="8">
        <v>1.734</v>
      </c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</row>
    <row r="173" ht="15.75" customHeight="1">
      <c r="A173" s="6">
        <v>172.0</v>
      </c>
      <c r="B173" s="7">
        <v>49481.0</v>
      </c>
      <c r="C173" s="8">
        <v>21.2</v>
      </c>
      <c r="D173" s="8">
        <v>89.94</v>
      </c>
      <c r="E173" s="8">
        <v>83.41</v>
      </c>
      <c r="F173" s="8">
        <v>21.2</v>
      </c>
      <c r="G173" s="8">
        <v>89.94</v>
      </c>
      <c r="H173" s="8">
        <v>83.41</v>
      </c>
      <c r="I173" s="8">
        <v>130.0</v>
      </c>
      <c r="J173" s="8">
        <v>19.2</v>
      </c>
      <c r="K173" s="8">
        <v>81.8</v>
      </c>
      <c r="L173" s="9">
        <f t="shared" si="1"/>
        <v>172.4</v>
      </c>
      <c r="M173" s="9">
        <f t="shared" si="2"/>
        <v>52.2253165</v>
      </c>
      <c r="N173" s="9">
        <f t="shared" si="3"/>
        <v>141.6</v>
      </c>
      <c r="O173" s="9">
        <f t="shared" si="4"/>
        <v>114.6</v>
      </c>
      <c r="P173" s="9">
        <f t="shared" si="6"/>
        <v>20</v>
      </c>
      <c r="Q173" s="9">
        <f t="shared" ref="Q173:R173" si="171">average(L167:L173)</f>
        <v>86.54285714</v>
      </c>
      <c r="R173" s="9">
        <f t="shared" si="171"/>
        <v>30.47902582</v>
      </c>
      <c r="S173" s="11">
        <v>0.0</v>
      </c>
      <c r="T173" s="11">
        <v>53.8575</v>
      </c>
      <c r="U173" s="12">
        <v>2.59</v>
      </c>
      <c r="V173" s="12">
        <v>844.9</v>
      </c>
      <c r="W173" s="12">
        <v>24.0</v>
      </c>
      <c r="X173" s="8">
        <v>4721.0</v>
      </c>
      <c r="Y173" s="8">
        <v>462.0</v>
      </c>
      <c r="Z173" s="8">
        <v>487.0</v>
      </c>
      <c r="AA173" s="8">
        <v>1.915</v>
      </c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 ht="15.75" customHeight="1">
      <c r="A174" s="6">
        <v>173.0</v>
      </c>
      <c r="B174" s="7">
        <v>49482.0</v>
      </c>
      <c r="C174" s="8">
        <v>18.2</v>
      </c>
      <c r="D174" s="8">
        <v>37.46</v>
      </c>
      <c r="E174" s="8">
        <v>41.97</v>
      </c>
      <c r="F174" s="8">
        <v>18.2</v>
      </c>
      <c r="G174" s="8">
        <v>37.46</v>
      </c>
      <c r="H174" s="8">
        <v>41.97</v>
      </c>
      <c r="I174" s="8">
        <v>150.0</v>
      </c>
      <c r="J174" s="8">
        <v>17.4</v>
      </c>
      <c r="K174" s="8">
        <v>85.1</v>
      </c>
      <c r="L174" s="9">
        <f t="shared" si="1"/>
        <v>186.4</v>
      </c>
      <c r="M174" s="9">
        <f t="shared" si="2"/>
        <v>27.93389417</v>
      </c>
      <c r="N174" s="9">
        <f t="shared" si="3"/>
        <v>172.4</v>
      </c>
      <c r="O174" s="9">
        <f t="shared" si="4"/>
        <v>141.6</v>
      </c>
      <c r="P174" s="9">
        <f t="shared" si="6"/>
        <v>42.6</v>
      </c>
      <c r="Q174" s="9">
        <f t="shared" ref="Q174:R174" si="172">average(L168:L174)</f>
        <v>110.3142857</v>
      </c>
      <c r="R174" s="9">
        <f t="shared" si="172"/>
        <v>33.22962727</v>
      </c>
      <c r="S174" s="11">
        <v>0.0</v>
      </c>
      <c r="T174" s="11">
        <v>53.9825</v>
      </c>
      <c r="U174" s="12">
        <v>3.24</v>
      </c>
      <c r="V174" s="12">
        <v>806.2</v>
      </c>
      <c r="W174" s="12">
        <v>19.0</v>
      </c>
      <c r="X174" s="8">
        <v>5014.0</v>
      </c>
      <c r="Y174" s="8">
        <v>586.0</v>
      </c>
      <c r="Z174" s="8">
        <v>574.0</v>
      </c>
      <c r="AA174" s="8">
        <v>2.028</v>
      </c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</row>
    <row r="175" ht="15.75" customHeight="1">
      <c r="A175" s="6">
        <v>174.0</v>
      </c>
      <c r="B175" s="7">
        <v>49483.0</v>
      </c>
      <c r="C175" s="8">
        <v>22.6</v>
      </c>
      <c r="D175" s="8">
        <v>85.71</v>
      </c>
      <c r="E175" s="8">
        <v>87.06</v>
      </c>
      <c r="F175" s="8">
        <v>22.6</v>
      </c>
      <c r="G175" s="8">
        <v>85.71</v>
      </c>
      <c r="H175" s="8">
        <v>87.06</v>
      </c>
      <c r="I175" s="8">
        <v>130.0</v>
      </c>
      <c r="J175" s="8">
        <v>20.5</v>
      </c>
      <c r="K175" s="8">
        <v>83.2</v>
      </c>
      <c r="L175" s="9">
        <f t="shared" si="1"/>
        <v>175.2</v>
      </c>
      <c r="M175" s="9">
        <f t="shared" si="2"/>
        <v>55.90064495</v>
      </c>
      <c r="N175" s="9">
        <f t="shared" si="3"/>
        <v>186.4</v>
      </c>
      <c r="O175" s="9">
        <f t="shared" si="4"/>
        <v>172.4</v>
      </c>
      <c r="P175" s="9">
        <f t="shared" si="6"/>
        <v>69.6</v>
      </c>
      <c r="Q175" s="9">
        <f t="shared" ref="Q175:R175" si="173">average(L169:L175)</f>
        <v>129.2571429</v>
      </c>
      <c r="R175" s="9">
        <f t="shared" si="173"/>
        <v>39.32562437</v>
      </c>
      <c r="S175" s="11">
        <v>0.0</v>
      </c>
      <c r="T175" s="11">
        <v>53.9125</v>
      </c>
      <c r="U175" s="12">
        <v>2.12</v>
      </c>
      <c r="V175" s="12">
        <v>680.3</v>
      </c>
      <c r="W175" s="12">
        <v>21.0</v>
      </c>
      <c r="X175" s="8">
        <v>5063.0</v>
      </c>
      <c r="Y175" s="8">
        <v>545.0</v>
      </c>
      <c r="Z175" s="8">
        <v>637.0</v>
      </c>
      <c r="AA175" s="8">
        <v>2.1</v>
      </c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 ht="15.75" customHeight="1">
      <c r="A176" s="6">
        <v>175.0</v>
      </c>
      <c r="B176" s="7">
        <v>49484.0</v>
      </c>
      <c r="C176" s="8">
        <v>19.0</v>
      </c>
      <c r="D176" s="8">
        <v>45.43</v>
      </c>
      <c r="E176" s="8">
        <v>43.33</v>
      </c>
      <c r="F176" s="8">
        <v>19.0</v>
      </c>
      <c r="G176" s="8">
        <v>45.43</v>
      </c>
      <c r="H176" s="8">
        <v>43.33</v>
      </c>
      <c r="I176" s="8">
        <v>75.0</v>
      </c>
      <c r="J176" s="8">
        <v>19.5</v>
      </c>
      <c r="K176" s="8">
        <v>81.5</v>
      </c>
      <c r="L176" s="9">
        <f t="shared" si="1"/>
        <v>113</v>
      </c>
      <c r="M176" s="9">
        <f t="shared" si="2"/>
        <v>19.39960622</v>
      </c>
      <c r="N176" s="9">
        <f t="shared" si="3"/>
        <v>175.2</v>
      </c>
      <c r="O176" s="9">
        <f t="shared" si="4"/>
        <v>186.4</v>
      </c>
      <c r="P176" s="9">
        <f t="shared" si="6"/>
        <v>45</v>
      </c>
      <c r="Q176" s="9">
        <f t="shared" ref="Q176:R176" si="174">average(L170:L176)</f>
        <v>135.4571429</v>
      </c>
      <c r="R176" s="9">
        <f t="shared" si="174"/>
        <v>36.49215205</v>
      </c>
      <c r="S176" s="11">
        <v>0.0</v>
      </c>
      <c r="T176" s="11">
        <v>54.195</v>
      </c>
      <c r="U176" s="12">
        <v>4.51</v>
      </c>
      <c r="V176" s="12">
        <v>757.8</v>
      </c>
      <c r="W176" s="12">
        <v>16.0</v>
      </c>
      <c r="X176" s="8">
        <v>6289.0</v>
      </c>
      <c r="Y176" s="8">
        <v>720.0</v>
      </c>
      <c r="Z176" s="8">
        <v>783.0</v>
      </c>
      <c r="AA176" s="8">
        <v>2.591</v>
      </c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 ht="15.75" customHeight="1">
      <c r="A177" s="6">
        <v>176.0</v>
      </c>
      <c r="B177" s="7">
        <v>49485.0</v>
      </c>
      <c r="C177" s="8">
        <v>16.5</v>
      </c>
      <c r="D177" s="8">
        <v>46.41</v>
      </c>
      <c r="E177" s="8">
        <v>39.48</v>
      </c>
      <c r="F177" s="8">
        <v>16.5</v>
      </c>
      <c r="G177" s="8">
        <v>46.41</v>
      </c>
      <c r="H177" s="8">
        <v>39.48</v>
      </c>
      <c r="I177" s="8">
        <v>150.0</v>
      </c>
      <c r="J177" s="8">
        <v>20.1</v>
      </c>
      <c r="K177" s="8">
        <v>83.5</v>
      </c>
      <c r="L177" s="9">
        <f t="shared" si="1"/>
        <v>183</v>
      </c>
      <c r="M177" s="9">
        <f t="shared" si="2"/>
        <v>31.22173044</v>
      </c>
      <c r="N177" s="9">
        <f t="shared" si="3"/>
        <v>113</v>
      </c>
      <c r="O177" s="9">
        <f t="shared" si="4"/>
        <v>175.2</v>
      </c>
      <c r="P177" s="9">
        <f t="shared" si="6"/>
        <v>114.6</v>
      </c>
      <c r="Q177" s="9">
        <f t="shared" ref="Q177:R177" si="175">average(L171:L177)</f>
        <v>155.1714286</v>
      </c>
      <c r="R177" s="9">
        <f t="shared" si="175"/>
        <v>37.89699033</v>
      </c>
      <c r="S177" s="11">
        <v>0.0</v>
      </c>
      <c r="T177" s="11">
        <v>54.254999999999995</v>
      </c>
      <c r="U177" s="12">
        <v>4.46</v>
      </c>
      <c r="V177" s="12">
        <v>786.8</v>
      </c>
      <c r="W177" s="12">
        <v>15.0</v>
      </c>
      <c r="X177" s="8">
        <v>6767.0</v>
      </c>
      <c r="Y177" s="8">
        <v>744.0</v>
      </c>
      <c r="Z177" s="8">
        <v>803.0</v>
      </c>
      <c r="AA177" s="8">
        <v>2.779</v>
      </c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 ht="15.75" customHeight="1">
      <c r="A178" s="6">
        <v>177.0</v>
      </c>
      <c r="B178" s="7">
        <v>49486.0</v>
      </c>
      <c r="C178" s="8">
        <v>22.5</v>
      </c>
      <c r="D178" s="8">
        <v>86.67</v>
      </c>
      <c r="E178" s="8">
        <v>76.87</v>
      </c>
      <c r="F178" s="8">
        <v>22.5</v>
      </c>
      <c r="G178" s="8">
        <v>86.67</v>
      </c>
      <c r="H178" s="8">
        <v>76.87</v>
      </c>
      <c r="I178" s="8">
        <v>150.0</v>
      </c>
      <c r="J178" s="8">
        <v>23.0</v>
      </c>
      <c r="K178" s="8">
        <v>81.4</v>
      </c>
      <c r="L178" s="9">
        <f t="shared" si="1"/>
        <v>195</v>
      </c>
      <c r="M178" s="9">
        <f t="shared" si="2"/>
        <v>58.06345305</v>
      </c>
      <c r="N178" s="9">
        <f t="shared" si="3"/>
        <v>183</v>
      </c>
      <c r="O178" s="9">
        <f t="shared" si="4"/>
        <v>113</v>
      </c>
      <c r="P178" s="9">
        <f t="shared" si="6"/>
        <v>141.6</v>
      </c>
      <c r="Q178" s="9">
        <f t="shared" ref="Q178:R178" si="176">average(L172:L178)</f>
        <v>166.6571429</v>
      </c>
      <c r="R178" s="9">
        <f t="shared" si="176"/>
        <v>41.33011694</v>
      </c>
      <c r="S178" s="11">
        <v>0.0</v>
      </c>
      <c r="T178" s="11">
        <v>54.27</v>
      </c>
      <c r="U178" s="12">
        <v>3.63</v>
      </c>
      <c r="V178" s="12">
        <v>757.8</v>
      </c>
      <c r="W178" s="12">
        <v>15.0</v>
      </c>
      <c r="X178" s="8">
        <v>7207.0</v>
      </c>
      <c r="Y178" s="8">
        <v>750.0</v>
      </c>
      <c r="Z178" s="8">
        <v>896.0</v>
      </c>
      <c r="AA178" s="8">
        <v>3.005</v>
      </c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 ht="15.75" customHeight="1">
      <c r="A179" s="6">
        <v>178.0</v>
      </c>
      <c r="B179" s="7">
        <v>49487.0</v>
      </c>
      <c r="C179" s="8">
        <v>21.0</v>
      </c>
      <c r="D179" s="8">
        <v>86.86</v>
      </c>
      <c r="E179" s="8">
        <v>80.03</v>
      </c>
      <c r="F179" s="8">
        <v>21.0</v>
      </c>
      <c r="G179" s="8">
        <v>86.86</v>
      </c>
      <c r="H179" s="8">
        <v>80.03</v>
      </c>
      <c r="I179" s="8">
        <v>53.0</v>
      </c>
      <c r="J179" s="8">
        <v>25.5</v>
      </c>
      <c r="K179" s="8">
        <v>84.9</v>
      </c>
      <c r="L179" s="9">
        <f t="shared" si="1"/>
        <v>95</v>
      </c>
      <c r="M179" s="9">
        <f t="shared" si="2"/>
        <v>40.67013936</v>
      </c>
      <c r="N179" s="9">
        <f t="shared" si="3"/>
        <v>195</v>
      </c>
      <c r="O179" s="9">
        <f t="shared" si="4"/>
        <v>183</v>
      </c>
      <c r="P179" s="9">
        <f t="shared" si="6"/>
        <v>172.4</v>
      </c>
      <c r="Q179" s="9">
        <f t="shared" ref="Q179:R179" si="177">average(L173:L179)</f>
        <v>160</v>
      </c>
      <c r="R179" s="9">
        <f t="shared" si="177"/>
        <v>40.77354067</v>
      </c>
      <c r="S179" s="11">
        <v>0.0</v>
      </c>
      <c r="T179" s="11">
        <v>54.662499999999994</v>
      </c>
      <c r="U179" s="12">
        <v>3.51</v>
      </c>
      <c r="V179" s="12">
        <v>786.8</v>
      </c>
      <c r="W179" s="12">
        <v>16.0</v>
      </c>
      <c r="X179" s="8">
        <v>6551.0</v>
      </c>
      <c r="Y179" s="8">
        <v>714.0</v>
      </c>
      <c r="Z179" s="8">
        <v>794.0</v>
      </c>
      <c r="AA179" s="8">
        <v>2.898</v>
      </c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 ht="15.75" customHeight="1">
      <c r="A180" s="6">
        <v>179.0</v>
      </c>
      <c r="B180" s="7">
        <v>49488.0</v>
      </c>
      <c r="C180" s="8">
        <v>35.0</v>
      </c>
      <c r="D180" s="8">
        <v>87.29</v>
      </c>
      <c r="E180" s="8">
        <v>79.07</v>
      </c>
      <c r="F180" s="8">
        <v>35.0</v>
      </c>
      <c r="G180" s="8">
        <v>87.29</v>
      </c>
      <c r="H180" s="8">
        <v>79.07</v>
      </c>
      <c r="I180" s="8">
        <v>30.0</v>
      </c>
      <c r="J180" s="8">
        <v>20.0</v>
      </c>
      <c r="K180" s="8">
        <v>80.8</v>
      </c>
      <c r="L180" s="9">
        <f t="shared" si="1"/>
        <v>100</v>
      </c>
      <c r="M180" s="9">
        <f t="shared" si="2"/>
        <v>53.1621421</v>
      </c>
      <c r="N180" s="9">
        <f t="shared" si="3"/>
        <v>95</v>
      </c>
      <c r="O180" s="9">
        <f t="shared" si="4"/>
        <v>195</v>
      </c>
      <c r="P180" s="9">
        <f t="shared" si="6"/>
        <v>186.4</v>
      </c>
      <c r="Q180" s="9">
        <f t="shared" ref="Q180:R180" si="178">average(L174:L180)</f>
        <v>149.6571429</v>
      </c>
      <c r="R180" s="9">
        <f t="shared" si="178"/>
        <v>40.9073729</v>
      </c>
      <c r="S180" s="11">
        <v>0.0</v>
      </c>
      <c r="T180" s="11">
        <v>54.8375</v>
      </c>
      <c r="U180" s="12">
        <v>3.04</v>
      </c>
      <c r="V180" s="12">
        <v>844.9</v>
      </c>
      <c r="W180" s="12">
        <v>18.0</v>
      </c>
      <c r="X180" s="8">
        <v>6382.0</v>
      </c>
      <c r="Y180" s="8">
        <v>636.0</v>
      </c>
      <c r="Z180" s="8">
        <v>657.0</v>
      </c>
      <c r="AA180" s="8">
        <v>2.906</v>
      </c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 ht="15.75" customHeight="1">
      <c r="A181" s="6">
        <v>180.0</v>
      </c>
      <c r="B181" s="7">
        <v>49489.0</v>
      </c>
      <c r="C181" s="8">
        <v>23.5</v>
      </c>
      <c r="D181" s="8">
        <v>86.8</v>
      </c>
      <c r="E181" s="8">
        <v>79.5</v>
      </c>
      <c r="F181" s="8">
        <v>23.5</v>
      </c>
      <c r="G181" s="8">
        <v>86.8</v>
      </c>
      <c r="H181" s="8">
        <v>79.5</v>
      </c>
      <c r="I181" s="8">
        <v>45.0</v>
      </c>
      <c r="J181" s="8">
        <v>20.8</v>
      </c>
      <c r="K181" s="8">
        <v>85.1</v>
      </c>
      <c r="L181" s="9">
        <f t="shared" si="1"/>
        <v>92</v>
      </c>
      <c r="M181" s="9">
        <f t="shared" si="2"/>
        <v>40.39818</v>
      </c>
      <c r="N181" s="9">
        <f t="shared" si="3"/>
        <v>100</v>
      </c>
      <c r="O181" s="9">
        <f t="shared" si="4"/>
        <v>95</v>
      </c>
      <c r="P181" s="9">
        <f t="shared" si="6"/>
        <v>175.2</v>
      </c>
      <c r="Q181" s="9">
        <f t="shared" ref="Q181:R181" si="179">average(L175:L181)</f>
        <v>136.1714286</v>
      </c>
      <c r="R181" s="9">
        <f t="shared" si="179"/>
        <v>42.68798516</v>
      </c>
      <c r="S181" s="11">
        <v>0.0</v>
      </c>
      <c r="T181" s="11">
        <v>54.712500000000006</v>
      </c>
      <c r="U181" s="12">
        <v>1.94</v>
      </c>
      <c r="V181" s="12">
        <v>874.0</v>
      </c>
      <c r="W181" s="12">
        <v>28.0</v>
      </c>
      <c r="X181" s="8">
        <v>5188.0</v>
      </c>
      <c r="Y181" s="8">
        <v>406.0</v>
      </c>
      <c r="Z181" s="8">
        <v>480.0</v>
      </c>
      <c r="AA181" s="8">
        <v>2.361</v>
      </c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 ht="15.75" customHeight="1">
      <c r="A182" s="6">
        <v>181.0</v>
      </c>
      <c r="B182" s="7">
        <v>49490.0</v>
      </c>
      <c r="C182" s="8">
        <v>6.2</v>
      </c>
      <c r="D182" s="8">
        <v>87.53</v>
      </c>
      <c r="E182" s="8">
        <v>81.68</v>
      </c>
      <c r="F182" s="8">
        <v>6.2</v>
      </c>
      <c r="G182" s="8">
        <v>87.53</v>
      </c>
      <c r="H182" s="8">
        <v>81.68</v>
      </c>
      <c r="I182" s="8">
        <v>70.0</v>
      </c>
      <c r="J182" s="8">
        <v>20.4</v>
      </c>
      <c r="K182" s="8">
        <v>82.5</v>
      </c>
      <c r="L182" s="9">
        <f t="shared" si="1"/>
        <v>82.4</v>
      </c>
      <c r="M182" s="9">
        <f t="shared" si="2"/>
        <v>20.6463185</v>
      </c>
      <c r="N182" s="9">
        <f t="shared" si="3"/>
        <v>92</v>
      </c>
      <c r="O182" s="9">
        <f t="shared" si="4"/>
        <v>100</v>
      </c>
      <c r="P182" s="9">
        <f t="shared" si="6"/>
        <v>113</v>
      </c>
      <c r="Q182" s="9">
        <f t="shared" ref="Q182:R182" si="180">average(L176:L182)</f>
        <v>122.9142857</v>
      </c>
      <c r="R182" s="9">
        <f t="shared" si="180"/>
        <v>37.65165281</v>
      </c>
      <c r="S182" s="11">
        <v>0.0</v>
      </c>
      <c r="T182" s="11">
        <v>54.8375</v>
      </c>
      <c r="U182" s="12">
        <v>2.1</v>
      </c>
      <c r="V182" s="12">
        <v>893.3</v>
      </c>
      <c r="W182" s="12">
        <v>18.0</v>
      </c>
      <c r="X182" s="8">
        <v>5927.0</v>
      </c>
      <c r="Y182" s="8">
        <v>621.0</v>
      </c>
      <c r="Z182" s="8">
        <v>730.0</v>
      </c>
      <c r="AA182" s="8">
        <v>2.496</v>
      </c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 ht="15.75" customHeight="1">
      <c r="A183" s="6">
        <v>182.0</v>
      </c>
      <c r="B183" s="7">
        <v>49491.0</v>
      </c>
      <c r="C183" s="8">
        <v>12.6</v>
      </c>
      <c r="D183" s="8">
        <v>87.86</v>
      </c>
      <c r="E183" s="8">
        <v>80.76</v>
      </c>
      <c r="F183" s="8">
        <v>12.6</v>
      </c>
      <c r="G183" s="8">
        <v>87.86</v>
      </c>
      <c r="H183" s="8">
        <v>80.76</v>
      </c>
      <c r="I183" s="8">
        <v>35.0</v>
      </c>
      <c r="J183" s="8">
        <v>17.3</v>
      </c>
      <c r="K183" s="8">
        <v>84.5</v>
      </c>
      <c r="L183" s="9">
        <f t="shared" si="1"/>
        <v>60.2</v>
      </c>
      <c r="M183" s="9">
        <f t="shared" si="2"/>
        <v>22.99732047</v>
      </c>
      <c r="N183" s="9">
        <f t="shared" si="3"/>
        <v>82.4</v>
      </c>
      <c r="O183" s="9">
        <f t="shared" si="4"/>
        <v>92</v>
      </c>
      <c r="P183" s="9">
        <f t="shared" si="6"/>
        <v>183</v>
      </c>
      <c r="Q183" s="9">
        <f t="shared" ref="Q183:R183" si="181">average(L177:L183)</f>
        <v>115.3714286</v>
      </c>
      <c r="R183" s="9">
        <f t="shared" si="181"/>
        <v>38.16561199</v>
      </c>
      <c r="S183" s="11">
        <v>0.0</v>
      </c>
      <c r="T183" s="11">
        <v>55.02250000000001</v>
      </c>
      <c r="U183" s="12">
        <v>2.76</v>
      </c>
      <c r="V183" s="12">
        <v>854.6</v>
      </c>
      <c r="W183" s="12">
        <v>19.0</v>
      </c>
      <c r="X183" s="8">
        <v>7124.0</v>
      </c>
      <c r="Y183" s="8">
        <v>607.0</v>
      </c>
      <c r="Z183" s="8">
        <v>776.0</v>
      </c>
      <c r="AA183" s="8">
        <v>2.627</v>
      </c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 ht="15.75" customHeight="1">
      <c r="A184" s="6">
        <v>183.0</v>
      </c>
      <c r="B184" s="7">
        <v>49492.0</v>
      </c>
      <c r="C184" s="8">
        <v>13.0</v>
      </c>
      <c r="D184" s="8">
        <v>87.19</v>
      </c>
      <c r="E184" s="8">
        <v>83.86</v>
      </c>
      <c r="F184" s="8">
        <v>13.0</v>
      </c>
      <c r="G184" s="8">
        <v>87.19</v>
      </c>
      <c r="H184" s="8">
        <v>83.86</v>
      </c>
      <c r="I184" s="8">
        <v>62.0</v>
      </c>
      <c r="J184" s="8">
        <v>17.6</v>
      </c>
      <c r="K184" s="8">
        <v>86.0</v>
      </c>
      <c r="L184" s="9">
        <f t="shared" si="1"/>
        <v>88</v>
      </c>
      <c r="M184" s="9">
        <f t="shared" si="2"/>
        <v>28.39487884</v>
      </c>
      <c r="N184" s="9">
        <f t="shared" si="3"/>
        <v>60.2</v>
      </c>
      <c r="O184" s="9">
        <f t="shared" si="4"/>
        <v>82.4</v>
      </c>
      <c r="P184" s="9">
        <f t="shared" si="6"/>
        <v>195</v>
      </c>
      <c r="Q184" s="9">
        <f t="shared" ref="Q184:R184" si="182">average(L178:L184)</f>
        <v>101.8</v>
      </c>
      <c r="R184" s="9">
        <f t="shared" si="182"/>
        <v>37.76177605</v>
      </c>
      <c r="S184" s="11">
        <v>0.0</v>
      </c>
      <c r="T184" s="11">
        <v>55.3025</v>
      </c>
      <c r="U184" s="12">
        <v>1.35</v>
      </c>
      <c r="V184" s="12">
        <v>951.4</v>
      </c>
      <c r="W184" s="12">
        <v>32.0</v>
      </c>
      <c r="X184" s="8">
        <v>6562.0</v>
      </c>
      <c r="Y184" s="8">
        <v>354.0</v>
      </c>
      <c r="Z184" s="8">
        <v>426.0</v>
      </c>
      <c r="AA184" s="8">
        <v>2.246</v>
      </c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 ht="15.75" customHeight="1">
      <c r="A185" s="6">
        <v>184.0</v>
      </c>
      <c r="B185" s="7">
        <v>49493.0</v>
      </c>
      <c r="C185" s="8">
        <v>9.2</v>
      </c>
      <c r="D185" s="8">
        <v>87.19</v>
      </c>
      <c r="E185" s="8">
        <v>83.86</v>
      </c>
      <c r="F185" s="8">
        <v>9.2</v>
      </c>
      <c r="G185" s="8">
        <v>87.19</v>
      </c>
      <c r="H185" s="8">
        <v>83.86</v>
      </c>
      <c r="I185" s="8">
        <v>25.0</v>
      </c>
      <c r="J185" s="8">
        <v>14.4</v>
      </c>
      <c r="K185" s="8">
        <v>83.7</v>
      </c>
      <c r="L185" s="9">
        <f t="shared" si="1"/>
        <v>43.4</v>
      </c>
      <c r="M185" s="9">
        <f t="shared" si="2"/>
        <v>16.46682626</v>
      </c>
      <c r="N185" s="9">
        <f t="shared" si="3"/>
        <v>88</v>
      </c>
      <c r="O185" s="9">
        <f t="shared" si="4"/>
        <v>60.2</v>
      </c>
      <c r="P185" s="9">
        <f t="shared" si="6"/>
        <v>95</v>
      </c>
      <c r="Q185" s="9">
        <f t="shared" ref="Q185:R185" si="183">average(L179:L185)</f>
        <v>80.14285714</v>
      </c>
      <c r="R185" s="9">
        <f t="shared" si="183"/>
        <v>31.81940079</v>
      </c>
      <c r="S185" s="11">
        <v>0.0</v>
      </c>
      <c r="T185" s="11">
        <v>57.18000000000001</v>
      </c>
      <c r="U185" s="12">
        <v>0.9</v>
      </c>
      <c r="V185" s="12">
        <v>835.2</v>
      </c>
      <c r="W185" s="12">
        <v>51.0</v>
      </c>
      <c r="X185" s="8">
        <v>6061.0</v>
      </c>
      <c r="Y185" s="8">
        <v>219.0</v>
      </c>
      <c r="Z185" s="8">
        <v>379.0</v>
      </c>
      <c r="AA185" s="8">
        <v>2.035</v>
      </c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 ht="15.75" customHeight="1">
      <c r="A186" s="6">
        <v>185.0</v>
      </c>
      <c r="B186" s="7">
        <v>49494.0</v>
      </c>
      <c r="C186" s="8">
        <v>14.5</v>
      </c>
      <c r="D186" s="8">
        <v>87.19</v>
      </c>
      <c r="E186" s="8">
        <v>83.86</v>
      </c>
      <c r="F186" s="8">
        <v>14.5</v>
      </c>
      <c r="G186" s="8">
        <v>87.19</v>
      </c>
      <c r="H186" s="8">
        <v>83.86</v>
      </c>
      <c r="I186" s="8">
        <v>10.0</v>
      </c>
      <c r="J186" s="8">
        <v>20.0</v>
      </c>
      <c r="K186" s="8">
        <v>83.9</v>
      </c>
      <c r="L186" s="9">
        <f t="shared" si="1"/>
        <v>39</v>
      </c>
      <c r="M186" s="9">
        <f t="shared" si="2"/>
        <v>22.88208486</v>
      </c>
      <c r="N186" s="9">
        <f t="shared" si="3"/>
        <v>43.4</v>
      </c>
      <c r="O186" s="9">
        <f t="shared" si="4"/>
        <v>88</v>
      </c>
      <c r="P186" s="9">
        <f t="shared" si="6"/>
        <v>100</v>
      </c>
      <c r="Q186" s="9">
        <f t="shared" ref="Q186:R186" si="184">average(L180:L186)</f>
        <v>72.14285714</v>
      </c>
      <c r="R186" s="9">
        <f t="shared" si="184"/>
        <v>29.27825015</v>
      </c>
      <c r="S186" s="11">
        <v>0.0</v>
      </c>
      <c r="T186" s="11">
        <v>55.574999999999996</v>
      </c>
      <c r="U186" s="12">
        <v>0.81</v>
      </c>
      <c r="V186" s="12">
        <v>864.3</v>
      </c>
      <c r="W186" s="12">
        <v>59.0</v>
      </c>
      <c r="X186" s="8">
        <v>5517.0</v>
      </c>
      <c r="Y186" s="8">
        <v>190.0</v>
      </c>
      <c r="Z186" s="8">
        <v>488.0</v>
      </c>
      <c r="AA186" s="8">
        <v>1.884</v>
      </c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 ht="15.75" customHeight="1">
      <c r="A187" s="6">
        <v>186.0</v>
      </c>
      <c r="B187" s="7">
        <v>49495.0</v>
      </c>
      <c r="C187" s="8">
        <v>8.7</v>
      </c>
      <c r="D187" s="8">
        <v>87.19</v>
      </c>
      <c r="E187" s="8">
        <v>83.86</v>
      </c>
      <c r="F187" s="8">
        <v>8.7</v>
      </c>
      <c r="G187" s="8">
        <v>87.19</v>
      </c>
      <c r="H187" s="8">
        <v>83.86</v>
      </c>
      <c r="I187" s="8">
        <v>0.0</v>
      </c>
      <c r="J187" s="8">
        <v>19.9</v>
      </c>
      <c r="K187" s="8">
        <v>80.1</v>
      </c>
      <c r="L187" s="9">
        <f t="shared" si="1"/>
        <v>17.4</v>
      </c>
      <c r="M187" s="9">
        <f t="shared" si="2"/>
        <v>12.72245092</v>
      </c>
      <c r="N187" s="9">
        <f t="shared" si="3"/>
        <v>39</v>
      </c>
      <c r="O187" s="9">
        <f t="shared" si="4"/>
        <v>43.4</v>
      </c>
      <c r="P187" s="9">
        <f t="shared" si="6"/>
        <v>92</v>
      </c>
      <c r="Q187" s="9">
        <f t="shared" ref="Q187:R187" si="185">average(L181:L187)</f>
        <v>60.34285714</v>
      </c>
      <c r="R187" s="9">
        <f t="shared" si="185"/>
        <v>23.50115141</v>
      </c>
      <c r="S187" s="11">
        <v>0.0</v>
      </c>
      <c r="T187" s="11">
        <v>55.8975</v>
      </c>
      <c r="U187" s="12">
        <v>0.42</v>
      </c>
      <c r="V187" s="12">
        <v>903.0</v>
      </c>
      <c r="W187" s="12">
        <v>65.0</v>
      </c>
      <c r="X187" s="8">
        <v>5407.0</v>
      </c>
      <c r="Y187" s="8">
        <v>172.0</v>
      </c>
      <c r="Z187" s="8">
        <v>202.0</v>
      </c>
      <c r="AA187" s="8">
        <v>1.841</v>
      </c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 ht="15.75" customHeight="1">
      <c r="A188" s="6">
        <v>187.0</v>
      </c>
      <c r="B188" s="7">
        <v>49496.0</v>
      </c>
      <c r="C188" s="8">
        <v>0.0</v>
      </c>
      <c r="D188" s="8">
        <v>87.32</v>
      </c>
      <c r="E188" s="8">
        <v>83.24</v>
      </c>
      <c r="F188" s="8">
        <v>0.0</v>
      </c>
      <c r="G188" s="8">
        <v>87.32</v>
      </c>
      <c r="H188" s="8">
        <v>83.24</v>
      </c>
      <c r="I188" s="8">
        <v>0.0</v>
      </c>
      <c r="J188" s="8">
        <v>21.8</v>
      </c>
      <c r="K188" s="8">
        <v>81.1</v>
      </c>
      <c r="L188" s="9">
        <f t="shared" si="1"/>
        <v>0</v>
      </c>
      <c r="M188" s="9">
        <f t="shared" si="2"/>
        <v>0</v>
      </c>
      <c r="N188" s="9">
        <f t="shared" si="3"/>
        <v>17.4</v>
      </c>
      <c r="O188" s="9">
        <f t="shared" si="4"/>
        <v>39</v>
      </c>
      <c r="P188" s="9">
        <f t="shared" si="6"/>
        <v>82.4</v>
      </c>
      <c r="Q188" s="9">
        <f t="shared" ref="Q188:R188" si="186">average(L182:L188)</f>
        <v>47.2</v>
      </c>
      <c r="R188" s="9">
        <f t="shared" si="186"/>
        <v>17.72998283</v>
      </c>
      <c r="S188" s="11">
        <v>0.0</v>
      </c>
      <c r="T188" s="11">
        <v>54.64</v>
      </c>
      <c r="U188" s="12">
        <v>0.82</v>
      </c>
      <c r="V188" s="12">
        <v>796.5</v>
      </c>
      <c r="W188" s="12">
        <v>51.0</v>
      </c>
      <c r="X188" s="8">
        <v>5192.0</v>
      </c>
      <c r="Y188" s="8">
        <v>221.0</v>
      </c>
      <c r="Z188" s="8">
        <v>271.0</v>
      </c>
      <c r="AA188" s="8">
        <v>1.818</v>
      </c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 ht="15.75" customHeight="1">
      <c r="A189" s="6">
        <v>188.0</v>
      </c>
      <c r="B189" s="7">
        <v>49497.0</v>
      </c>
      <c r="C189" s="8">
        <v>8.0</v>
      </c>
      <c r="D189" s="8">
        <v>87.19</v>
      </c>
      <c r="E189" s="8">
        <v>83.86</v>
      </c>
      <c r="F189" s="8">
        <v>8.0</v>
      </c>
      <c r="G189" s="8">
        <v>87.19</v>
      </c>
      <c r="H189" s="8">
        <v>83.86</v>
      </c>
      <c r="I189" s="8">
        <v>0.0</v>
      </c>
      <c r="J189" s="8">
        <v>22.9</v>
      </c>
      <c r="K189" s="8">
        <v>81.4</v>
      </c>
      <c r="L189" s="9">
        <f t="shared" si="1"/>
        <v>16</v>
      </c>
      <c r="M189" s="9">
        <f t="shared" si="2"/>
        <v>11.69880544</v>
      </c>
      <c r="N189" s="9">
        <f t="shared" si="3"/>
        <v>0</v>
      </c>
      <c r="O189" s="9">
        <f t="shared" si="4"/>
        <v>17.4</v>
      </c>
      <c r="P189" s="9">
        <f t="shared" si="6"/>
        <v>60.2</v>
      </c>
      <c r="Q189" s="9">
        <f t="shared" ref="Q189:R189" si="187">average(L183:L189)</f>
        <v>37.71428571</v>
      </c>
      <c r="R189" s="9">
        <f t="shared" si="187"/>
        <v>16.45176668</v>
      </c>
      <c r="S189" s="11">
        <v>0.0</v>
      </c>
      <c r="T189" s="11">
        <v>55.0925</v>
      </c>
      <c r="U189" s="12">
        <v>0.48</v>
      </c>
      <c r="V189" s="12">
        <v>815.9</v>
      </c>
      <c r="W189" s="12">
        <v>77.0</v>
      </c>
      <c r="X189" s="8">
        <v>4429.0</v>
      </c>
      <c r="Y189" s="8">
        <v>146.0</v>
      </c>
      <c r="Z189" s="8">
        <v>166.0</v>
      </c>
      <c r="AA189" s="8">
        <v>1.544</v>
      </c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 ht="15.75" customHeight="1">
      <c r="A190" s="6">
        <v>189.0</v>
      </c>
      <c r="B190" s="7">
        <v>49498.0</v>
      </c>
      <c r="C190" s="8">
        <v>0.0</v>
      </c>
      <c r="D190" s="8">
        <v>87.21</v>
      </c>
      <c r="E190" s="8">
        <v>83.74</v>
      </c>
      <c r="F190" s="8">
        <v>0.0</v>
      </c>
      <c r="G190" s="8">
        <v>87.21</v>
      </c>
      <c r="H190" s="8">
        <v>83.74</v>
      </c>
      <c r="I190" s="8">
        <v>0.0</v>
      </c>
      <c r="J190" s="8">
        <v>21.4</v>
      </c>
      <c r="K190" s="8">
        <v>79.1</v>
      </c>
      <c r="L190" s="9">
        <f t="shared" si="1"/>
        <v>0</v>
      </c>
      <c r="M190" s="9">
        <f t="shared" si="2"/>
        <v>0</v>
      </c>
      <c r="N190" s="9">
        <f t="shared" si="3"/>
        <v>16</v>
      </c>
      <c r="O190" s="9">
        <f t="shared" si="4"/>
        <v>0</v>
      </c>
      <c r="P190" s="9">
        <f t="shared" si="6"/>
        <v>88</v>
      </c>
      <c r="Q190" s="9">
        <f t="shared" ref="Q190:R190" si="188">average(L184:L190)</f>
        <v>29.11428571</v>
      </c>
      <c r="R190" s="9">
        <f t="shared" si="188"/>
        <v>13.16643519</v>
      </c>
      <c r="S190" s="11">
        <v>0.0</v>
      </c>
      <c r="T190" s="11">
        <v>54.1125</v>
      </c>
      <c r="U190" s="12">
        <v>0.57</v>
      </c>
      <c r="V190" s="12">
        <v>883.7</v>
      </c>
      <c r="W190" s="12">
        <v>70.0</v>
      </c>
      <c r="X190" s="8">
        <v>4050.0</v>
      </c>
      <c r="Y190" s="8">
        <v>160.0</v>
      </c>
      <c r="Z190" s="8">
        <v>183.0</v>
      </c>
      <c r="AA190" s="8">
        <v>1.367</v>
      </c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 ht="15.75" customHeight="1">
      <c r="A191" s="6">
        <v>190.0</v>
      </c>
      <c r="B191" s="7">
        <v>49499.0</v>
      </c>
      <c r="C191" s="8">
        <v>0.0</v>
      </c>
      <c r="D191" s="8">
        <v>87.22</v>
      </c>
      <c r="E191" s="8">
        <v>83.71</v>
      </c>
      <c r="F191" s="8">
        <v>0.0</v>
      </c>
      <c r="G191" s="8">
        <v>87.22</v>
      </c>
      <c r="H191" s="8">
        <v>83.71</v>
      </c>
      <c r="I191" s="8">
        <v>0.0</v>
      </c>
      <c r="J191" s="8">
        <v>22.8</v>
      </c>
      <c r="K191" s="8">
        <v>80.9</v>
      </c>
      <c r="L191" s="9">
        <f t="shared" si="1"/>
        <v>0</v>
      </c>
      <c r="M191" s="9">
        <f t="shared" si="2"/>
        <v>0</v>
      </c>
      <c r="N191" s="9">
        <f t="shared" si="3"/>
        <v>0</v>
      </c>
      <c r="O191" s="9">
        <f t="shared" si="4"/>
        <v>16</v>
      </c>
      <c r="P191" s="9">
        <f t="shared" si="6"/>
        <v>43.4</v>
      </c>
      <c r="Q191" s="9">
        <f t="shared" ref="Q191:R191" si="189">average(L185:L191)</f>
        <v>16.54285714</v>
      </c>
      <c r="R191" s="9">
        <f t="shared" si="189"/>
        <v>9.110023925</v>
      </c>
      <c r="S191" s="11">
        <v>0.0</v>
      </c>
      <c r="T191" s="11">
        <v>53.900000000000006</v>
      </c>
      <c r="U191" s="12">
        <v>0.82</v>
      </c>
      <c r="V191" s="12">
        <v>777.1</v>
      </c>
      <c r="W191" s="12">
        <v>62.0</v>
      </c>
      <c r="X191" s="8">
        <v>4223.0</v>
      </c>
      <c r="Y191" s="8">
        <v>183.0</v>
      </c>
      <c r="Z191" s="8">
        <v>493.0</v>
      </c>
      <c r="AA191" s="8">
        <v>1.426</v>
      </c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 ht="15.75" customHeight="1">
      <c r="A192" s="6">
        <v>191.0</v>
      </c>
      <c r="B192" s="7">
        <v>49500.0</v>
      </c>
      <c r="C192" s="8">
        <v>0.0</v>
      </c>
      <c r="D192" s="8">
        <v>87.22</v>
      </c>
      <c r="E192" s="8">
        <v>83.68</v>
      </c>
      <c r="F192" s="8">
        <v>0.0</v>
      </c>
      <c r="G192" s="8">
        <v>87.22</v>
      </c>
      <c r="H192" s="8">
        <v>83.68</v>
      </c>
      <c r="I192" s="8">
        <v>0.0</v>
      </c>
      <c r="J192" s="8">
        <v>22.3</v>
      </c>
      <c r="K192" s="8">
        <v>80.4</v>
      </c>
      <c r="L192" s="9">
        <f t="shared" si="1"/>
        <v>0</v>
      </c>
      <c r="M192" s="9">
        <f t="shared" si="2"/>
        <v>0</v>
      </c>
      <c r="N192" s="9">
        <f t="shared" si="3"/>
        <v>0</v>
      </c>
      <c r="O192" s="9">
        <f t="shared" si="4"/>
        <v>0</v>
      </c>
      <c r="P192" s="9">
        <f t="shared" si="6"/>
        <v>39</v>
      </c>
      <c r="Q192" s="9">
        <f t="shared" ref="Q192:R192" si="190">average(L186:L192)</f>
        <v>10.34285714</v>
      </c>
      <c r="R192" s="9">
        <f t="shared" si="190"/>
        <v>6.757620174</v>
      </c>
      <c r="S192" s="11">
        <v>0.0</v>
      </c>
      <c r="T192" s="11">
        <v>54.04</v>
      </c>
      <c r="U192" s="12">
        <v>0.5</v>
      </c>
      <c r="V192" s="12">
        <v>903.0</v>
      </c>
      <c r="W192" s="12">
        <v>94.0</v>
      </c>
      <c r="X192" s="8">
        <v>4055.0</v>
      </c>
      <c r="Y192" s="8">
        <v>120.0</v>
      </c>
      <c r="Z192" s="8">
        <v>9.0</v>
      </c>
      <c r="AA192" s="8">
        <v>1.326</v>
      </c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 ht="15.75" customHeight="1">
      <c r="A193" s="6">
        <v>192.0</v>
      </c>
      <c r="B193" s="7">
        <v>49501.0</v>
      </c>
      <c r="C193" s="8">
        <v>0.0</v>
      </c>
      <c r="D193" s="8">
        <v>87.23</v>
      </c>
      <c r="E193" s="8">
        <v>83.65</v>
      </c>
      <c r="F193" s="8">
        <v>0.0</v>
      </c>
      <c r="G193" s="8">
        <v>87.23</v>
      </c>
      <c r="H193" s="8">
        <v>83.65</v>
      </c>
      <c r="I193" s="8">
        <v>0.0</v>
      </c>
      <c r="J193" s="8">
        <v>20.7</v>
      </c>
      <c r="K193" s="8">
        <v>81.4</v>
      </c>
      <c r="L193" s="9">
        <f t="shared" si="1"/>
        <v>0</v>
      </c>
      <c r="M193" s="9">
        <f t="shared" si="2"/>
        <v>0</v>
      </c>
      <c r="N193" s="9">
        <f t="shared" si="3"/>
        <v>0</v>
      </c>
      <c r="O193" s="9">
        <f t="shared" si="4"/>
        <v>0</v>
      </c>
      <c r="P193" s="9">
        <f t="shared" si="6"/>
        <v>17.4</v>
      </c>
      <c r="Q193" s="9">
        <f t="shared" ref="Q193:R193" si="191">average(L187:L193)</f>
        <v>4.771428571</v>
      </c>
      <c r="R193" s="9">
        <f t="shared" si="191"/>
        <v>3.488750908</v>
      </c>
      <c r="S193" s="11">
        <v>51.3</v>
      </c>
      <c r="T193" s="11">
        <v>52.949999999999996</v>
      </c>
      <c r="U193" s="12">
        <v>0.73</v>
      </c>
      <c r="V193" s="12">
        <v>893.3</v>
      </c>
      <c r="W193" s="12">
        <v>64.0</v>
      </c>
      <c r="X193" s="8">
        <v>3978.0</v>
      </c>
      <c r="Y193" s="8">
        <v>176.0</v>
      </c>
      <c r="Z193" s="8">
        <v>92.0</v>
      </c>
      <c r="AA193" s="8">
        <v>1.324</v>
      </c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 ht="15.75" customHeight="1">
      <c r="A194" s="6">
        <v>193.0</v>
      </c>
      <c r="B194" s="7">
        <v>49502.0</v>
      </c>
      <c r="C194" s="8">
        <v>0.0</v>
      </c>
      <c r="D194" s="8">
        <v>0.0</v>
      </c>
      <c r="E194" s="8">
        <v>0.0</v>
      </c>
      <c r="F194" s="8">
        <v>0.0</v>
      </c>
      <c r="G194" s="8">
        <v>0.0</v>
      </c>
      <c r="H194" s="8">
        <v>0.0</v>
      </c>
      <c r="I194" s="8">
        <v>0.0</v>
      </c>
      <c r="J194" s="8">
        <v>21.2</v>
      </c>
      <c r="K194" s="8">
        <v>80.8</v>
      </c>
      <c r="L194" s="9">
        <f t="shared" si="1"/>
        <v>0</v>
      </c>
      <c r="M194" s="9">
        <f t="shared" si="2"/>
        <v>0</v>
      </c>
      <c r="N194" s="9">
        <f t="shared" si="3"/>
        <v>0</v>
      </c>
      <c r="O194" s="9">
        <f t="shared" si="4"/>
        <v>0</v>
      </c>
      <c r="P194" s="9">
        <f t="shared" si="6"/>
        <v>0</v>
      </c>
      <c r="Q194" s="9">
        <f t="shared" ref="Q194:R194" si="192">average(L188:L194)</f>
        <v>2.285714286</v>
      </c>
      <c r="R194" s="9">
        <f t="shared" si="192"/>
        <v>1.67125792</v>
      </c>
      <c r="S194" s="11">
        <v>58.39</v>
      </c>
      <c r="T194" s="11">
        <v>53.21</v>
      </c>
      <c r="U194" s="12">
        <v>1.9</v>
      </c>
      <c r="V194" s="12">
        <v>980.5</v>
      </c>
      <c r="W194" s="12">
        <v>25.0</v>
      </c>
      <c r="X194" s="8">
        <v>4026.0</v>
      </c>
      <c r="Y194" s="8">
        <v>448.0</v>
      </c>
      <c r="Z194" s="8">
        <v>327.0</v>
      </c>
      <c r="AA194" s="8">
        <v>1.329</v>
      </c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 ht="15.75" customHeight="1">
      <c r="A195" s="6">
        <v>194.0</v>
      </c>
      <c r="B195" s="7">
        <v>49503.0</v>
      </c>
      <c r="C195" s="8">
        <v>1.0</v>
      </c>
      <c r="D195" s="8">
        <v>84.67</v>
      </c>
      <c r="E195" s="8">
        <v>87.17</v>
      </c>
      <c r="F195" s="8">
        <v>1.0</v>
      </c>
      <c r="G195" s="8">
        <v>84.67</v>
      </c>
      <c r="H195" s="8">
        <v>87.17</v>
      </c>
      <c r="I195" s="8">
        <v>0.0</v>
      </c>
      <c r="J195" s="8">
        <v>22.6</v>
      </c>
      <c r="K195" s="8">
        <v>81.1</v>
      </c>
      <c r="L195" s="9">
        <f t="shared" si="1"/>
        <v>2</v>
      </c>
      <c r="M195" s="9">
        <f t="shared" si="2"/>
        <v>1.47613678</v>
      </c>
      <c r="N195" s="9">
        <f t="shared" si="3"/>
        <v>0</v>
      </c>
      <c r="O195" s="9">
        <f t="shared" si="4"/>
        <v>0</v>
      </c>
      <c r="P195" s="9">
        <f t="shared" si="6"/>
        <v>16</v>
      </c>
      <c r="Q195" s="9">
        <f t="shared" ref="Q195:R195" si="193">average(L189:L195)</f>
        <v>2.571428571</v>
      </c>
      <c r="R195" s="9">
        <f t="shared" si="193"/>
        <v>1.882134603</v>
      </c>
      <c r="S195" s="11">
        <v>58.92</v>
      </c>
      <c r="T195" s="11">
        <v>52.915</v>
      </c>
      <c r="U195" s="12">
        <v>2.06</v>
      </c>
      <c r="V195" s="12">
        <v>815.9</v>
      </c>
      <c r="W195" s="12">
        <v>23.0</v>
      </c>
      <c r="X195" s="8">
        <v>3610.0</v>
      </c>
      <c r="Y195" s="8">
        <v>490.0</v>
      </c>
      <c r="Z195" s="8">
        <v>577.0</v>
      </c>
      <c r="AA195" s="8">
        <v>1.274</v>
      </c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 ht="15.75" customHeight="1">
      <c r="A196" s="6">
        <v>195.0</v>
      </c>
      <c r="B196" s="7">
        <v>49504.0</v>
      </c>
      <c r="C196" s="8">
        <v>4.5</v>
      </c>
      <c r="D196" s="8">
        <v>87.6</v>
      </c>
      <c r="E196" s="8">
        <v>82.23</v>
      </c>
      <c r="F196" s="8">
        <v>4.5</v>
      </c>
      <c r="G196" s="8">
        <v>87.6</v>
      </c>
      <c r="H196" s="8">
        <v>82.23</v>
      </c>
      <c r="I196" s="8">
        <v>0.0</v>
      </c>
      <c r="J196" s="8">
        <v>22.2</v>
      </c>
      <c r="K196" s="8">
        <v>81.3</v>
      </c>
      <c r="L196" s="9">
        <f t="shared" si="1"/>
        <v>9</v>
      </c>
      <c r="M196" s="9">
        <f t="shared" si="2"/>
        <v>6.4830132</v>
      </c>
      <c r="N196" s="9">
        <f t="shared" si="3"/>
        <v>2</v>
      </c>
      <c r="O196" s="9">
        <f t="shared" si="4"/>
        <v>0</v>
      </c>
      <c r="P196" s="9">
        <f t="shared" si="6"/>
        <v>0</v>
      </c>
      <c r="Q196" s="9">
        <f t="shared" ref="Q196:R196" si="194">average(L190:L196)</f>
        <v>1.571428571</v>
      </c>
      <c r="R196" s="9">
        <f t="shared" si="194"/>
        <v>1.137021426</v>
      </c>
      <c r="S196" s="11">
        <v>59.71</v>
      </c>
      <c r="T196" s="11">
        <v>52.545</v>
      </c>
      <c r="U196" s="12">
        <v>0.7</v>
      </c>
      <c r="V196" s="12">
        <v>806.2</v>
      </c>
      <c r="W196" s="12">
        <v>24.0</v>
      </c>
      <c r="X196" s="8">
        <v>3657.0</v>
      </c>
      <c r="Y196" s="8">
        <v>463.0</v>
      </c>
      <c r="Z196" s="8">
        <v>507.0</v>
      </c>
      <c r="AA196" s="8">
        <v>1.275</v>
      </c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 ht="15.75" customHeight="1">
      <c r="A197" s="6">
        <v>196.0</v>
      </c>
      <c r="B197" s="7">
        <v>49505.0</v>
      </c>
      <c r="C197" s="8">
        <v>0.0</v>
      </c>
      <c r="D197" s="8">
        <v>0.0</v>
      </c>
      <c r="E197" s="8">
        <v>0.0</v>
      </c>
      <c r="F197" s="8">
        <v>0.0</v>
      </c>
      <c r="G197" s="8">
        <v>0.0</v>
      </c>
      <c r="H197" s="8">
        <v>0.0</v>
      </c>
      <c r="I197" s="8">
        <v>96.0</v>
      </c>
      <c r="J197" s="8">
        <v>22.1</v>
      </c>
      <c r="K197" s="8">
        <v>83.7</v>
      </c>
      <c r="L197" s="9">
        <f t="shared" si="1"/>
        <v>96</v>
      </c>
      <c r="M197" s="9">
        <f t="shared" si="2"/>
        <v>17.757792</v>
      </c>
      <c r="N197" s="9">
        <f t="shared" si="3"/>
        <v>9</v>
      </c>
      <c r="O197" s="9">
        <f t="shared" si="4"/>
        <v>2</v>
      </c>
      <c r="P197" s="9">
        <f t="shared" si="6"/>
        <v>0</v>
      </c>
      <c r="Q197" s="9">
        <f t="shared" ref="Q197:R197" si="195">average(L191:L197)</f>
        <v>15.28571429</v>
      </c>
      <c r="R197" s="9">
        <f t="shared" si="195"/>
        <v>3.673848854</v>
      </c>
      <c r="S197" s="11">
        <v>59.62</v>
      </c>
      <c r="T197" s="11">
        <v>50.427499999999995</v>
      </c>
      <c r="U197" s="12">
        <v>0.62</v>
      </c>
      <c r="V197" s="12">
        <v>777.1</v>
      </c>
      <c r="W197" s="12">
        <v>75.0</v>
      </c>
      <c r="X197" s="8">
        <v>2067.0</v>
      </c>
      <c r="Y197" s="8">
        <v>150.0</v>
      </c>
      <c r="Z197" s="8">
        <v>164.0</v>
      </c>
      <c r="AA197" s="8">
        <v>0.701</v>
      </c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 ht="15.75" customHeight="1">
      <c r="A198" s="6">
        <v>197.0</v>
      </c>
      <c r="B198" s="7">
        <v>49506.0</v>
      </c>
      <c r="C198" s="8">
        <v>4.0</v>
      </c>
      <c r="D198" s="8">
        <v>87.6</v>
      </c>
      <c r="E198" s="8">
        <v>82.23</v>
      </c>
      <c r="F198" s="8">
        <v>4.0</v>
      </c>
      <c r="G198" s="8">
        <v>87.6</v>
      </c>
      <c r="H198" s="8">
        <v>82.23</v>
      </c>
      <c r="I198" s="8">
        <v>85.0</v>
      </c>
      <c r="J198" s="8">
        <v>21.0</v>
      </c>
      <c r="K198" s="8">
        <v>81.8</v>
      </c>
      <c r="L198" s="9">
        <f t="shared" si="1"/>
        <v>93</v>
      </c>
      <c r="M198" s="9">
        <f t="shared" si="2"/>
        <v>20.3639784</v>
      </c>
      <c r="N198" s="9">
        <f t="shared" si="3"/>
        <v>96</v>
      </c>
      <c r="O198" s="9">
        <f t="shared" si="4"/>
        <v>9</v>
      </c>
      <c r="P198" s="9">
        <f t="shared" si="6"/>
        <v>0</v>
      </c>
      <c r="Q198" s="9">
        <f t="shared" ref="Q198:R198" si="196">average(L192:L198)</f>
        <v>28.57142857</v>
      </c>
      <c r="R198" s="9">
        <f t="shared" si="196"/>
        <v>6.582988626</v>
      </c>
      <c r="S198" s="11">
        <v>60.84</v>
      </c>
      <c r="T198" s="11">
        <v>51.2525</v>
      </c>
      <c r="U198" s="12">
        <v>1.11</v>
      </c>
      <c r="V198" s="12">
        <v>815.9</v>
      </c>
      <c r="W198" s="12">
        <v>49.0</v>
      </c>
      <c r="X198" s="8">
        <v>5173.0</v>
      </c>
      <c r="Y198" s="8">
        <v>230.0</v>
      </c>
      <c r="Z198" s="8">
        <v>185.0</v>
      </c>
      <c r="AA198" s="8">
        <v>1.832</v>
      </c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 ht="15.75" customHeight="1">
      <c r="A199" s="6">
        <v>198.0</v>
      </c>
      <c r="B199" s="7">
        <v>49507.0</v>
      </c>
      <c r="C199" s="8">
        <v>22.7</v>
      </c>
      <c r="D199" s="8">
        <v>87.83</v>
      </c>
      <c r="E199" s="8">
        <v>84.64</v>
      </c>
      <c r="F199" s="8">
        <v>22.7</v>
      </c>
      <c r="G199" s="8">
        <v>87.83</v>
      </c>
      <c r="H199" s="8">
        <v>84.64</v>
      </c>
      <c r="I199" s="8">
        <v>44.0</v>
      </c>
      <c r="J199" s="8">
        <v>23.2</v>
      </c>
      <c r="K199" s="8">
        <v>84.3</v>
      </c>
      <c r="L199" s="9">
        <f t="shared" si="1"/>
        <v>89.4</v>
      </c>
      <c r="M199" s="9">
        <f t="shared" si="2"/>
        <v>42.35539165</v>
      </c>
      <c r="N199" s="9">
        <f t="shared" si="3"/>
        <v>93</v>
      </c>
      <c r="O199" s="9">
        <f t="shared" si="4"/>
        <v>96</v>
      </c>
      <c r="P199" s="9">
        <f t="shared" si="6"/>
        <v>0</v>
      </c>
      <c r="Q199" s="9">
        <f t="shared" ref="Q199:R199" si="197">average(L193:L199)</f>
        <v>41.34285714</v>
      </c>
      <c r="R199" s="9">
        <f t="shared" si="197"/>
        <v>12.63375886</v>
      </c>
      <c r="S199" s="11">
        <v>58.53</v>
      </c>
      <c r="T199" s="11">
        <v>50.760000000000005</v>
      </c>
      <c r="U199" s="12">
        <v>2.16</v>
      </c>
      <c r="V199" s="12">
        <v>806.2</v>
      </c>
      <c r="W199" s="12">
        <v>20.0</v>
      </c>
      <c r="X199" s="8">
        <v>4389.0</v>
      </c>
      <c r="Y199" s="8">
        <v>568.0</v>
      </c>
      <c r="Z199" s="8">
        <v>527.0</v>
      </c>
      <c r="AA199" s="8">
        <v>1.677</v>
      </c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 ht="15.75" customHeight="1">
      <c r="A200" s="6">
        <v>199.0</v>
      </c>
      <c r="B200" s="7">
        <v>49508.0</v>
      </c>
      <c r="C200" s="8">
        <v>2.0</v>
      </c>
      <c r="D200" s="8">
        <v>87.6</v>
      </c>
      <c r="E200" s="8">
        <v>82.23</v>
      </c>
      <c r="F200" s="8">
        <v>2.0</v>
      </c>
      <c r="G200" s="8">
        <v>87.6</v>
      </c>
      <c r="H200" s="8">
        <v>82.23</v>
      </c>
      <c r="I200" s="8">
        <v>0.0</v>
      </c>
      <c r="J200" s="8">
        <v>24.9</v>
      </c>
      <c r="K200" s="8">
        <v>82.7</v>
      </c>
      <c r="L200" s="9">
        <f t="shared" si="1"/>
        <v>4</v>
      </c>
      <c r="M200" s="9">
        <f t="shared" si="2"/>
        <v>2.8813392</v>
      </c>
      <c r="N200" s="9">
        <f t="shared" si="3"/>
        <v>89.4</v>
      </c>
      <c r="O200" s="9">
        <f t="shared" si="4"/>
        <v>93</v>
      </c>
      <c r="P200" s="9">
        <f t="shared" si="6"/>
        <v>0</v>
      </c>
      <c r="Q200" s="9">
        <f t="shared" ref="Q200:R200" si="198">average(L194:L200)</f>
        <v>41.91428571</v>
      </c>
      <c r="R200" s="9">
        <f t="shared" si="198"/>
        <v>13.04537875</v>
      </c>
      <c r="S200" s="11">
        <v>59.82</v>
      </c>
      <c r="T200" s="11">
        <v>51.2975</v>
      </c>
      <c r="U200" s="12">
        <v>1.49</v>
      </c>
      <c r="V200" s="12">
        <v>806.2</v>
      </c>
      <c r="W200" s="12">
        <v>25.0</v>
      </c>
      <c r="X200" s="8">
        <v>4060.0</v>
      </c>
      <c r="Y200" s="8">
        <v>445.0</v>
      </c>
      <c r="Z200" s="8">
        <v>433.0</v>
      </c>
      <c r="AA200" s="8">
        <v>1.596</v>
      </c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 ht="15.75" customHeight="1">
      <c r="A201" s="6">
        <v>200.0</v>
      </c>
      <c r="B201" s="7">
        <v>49509.0</v>
      </c>
      <c r="C201" s="8">
        <v>6.2</v>
      </c>
      <c r="D201" s="8">
        <v>90.83</v>
      </c>
      <c r="E201" s="8">
        <v>85.57</v>
      </c>
      <c r="F201" s="8">
        <v>6.2</v>
      </c>
      <c r="G201" s="8">
        <v>90.83</v>
      </c>
      <c r="H201" s="8">
        <v>85.57</v>
      </c>
      <c r="I201" s="8">
        <v>0.0</v>
      </c>
      <c r="J201" s="8">
        <v>24.7</v>
      </c>
      <c r="K201" s="8">
        <v>84.1</v>
      </c>
      <c r="L201" s="9">
        <f t="shared" si="1"/>
        <v>12.4</v>
      </c>
      <c r="M201" s="9">
        <f t="shared" si="2"/>
        <v>9.637680644</v>
      </c>
      <c r="N201" s="9">
        <f t="shared" si="3"/>
        <v>4</v>
      </c>
      <c r="O201" s="9">
        <f t="shared" si="4"/>
        <v>89.4</v>
      </c>
      <c r="P201" s="9">
        <f t="shared" si="6"/>
        <v>2</v>
      </c>
      <c r="Q201" s="9">
        <f t="shared" ref="Q201:R201" si="199">average(L195:L201)</f>
        <v>43.68571429</v>
      </c>
      <c r="R201" s="9">
        <f t="shared" si="199"/>
        <v>14.42219027</v>
      </c>
      <c r="S201" s="11">
        <v>59.98</v>
      </c>
      <c r="T201" s="11">
        <v>51.36</v>
      </c>
      <c r="U201" s="12">
        <v>1.73</v>
      </c>
      <c r="V201" s="12">
        <v>748.1</v>
      </c>
      <c r="W201" s="12">
        <v>26.0</v>
      </c>
      <c r="X201" s="8">
        <v>4442.0</v>
      </c>
      <c r="Y201" s="8">
        <v>441.0</v>
      </c>
      <c r="Z201" s="8">
        <v>473.0</v>
      </c>
      <c r="AA201" s="8">
        <v>1.578</v>
      </c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 ht="15.75" customHeight="1">
      <c r="A202" s="6">
        <v>201.0</v>
      </c>
      <c r="B202" s="7">
        <v>49510.0</v>
      </c>
      <c r="C202" s="8">
        <v>6.0</v>
      </c>
      <c r="D202" s="8">
        <v>90.83</v>
      </c>
      <c r="E202" s="8">
        <v>85.57</v>
      </c>
      <c r="F202" s="8">
        <v>6.0</v>
      </c>
      <c r="G202" s="8">
        <v>90.83</v>
      </c>
      <c r="H202" s="8">
        <v>85.57</v>
      </c>
      <c r="I202" s="8">
        <v>0.0</v>
      </c>
      <c r="J202" s="8">
        <v>22.5</v>
      </c>
      <c r="K202" s="8">
        <v>83.8</v>
      </c>
      <c r="L202" s="9">
        <f t="shared" si="1"/>
        <v>12</v>
      </c>
      <c r="M202" s="9">
        <f t="shared" si="2"/>
        <v>9.32678772</v>
      </c>
      <c r="N202" s="9">
        <f t="shared" si="3"/>
        <v>12.4</v>
      </c>
      <c r="O202" s="9">
        <f t="shared" si="4"/>
        <v>4</v>
      </c>
      <c r="P202" s="9">
        <f t="shared" si="6"/>
        <v>9</v>
      </c>
      <c r="Q202" s="9">
        <f t="shared" ref="Q202:R202" si="200">average(L196:L202)</f>
        <v>45.11428571</v>
      </c>
      <c r="R202" s="9">
        <f t="shared" si="200"/>
        <v>15.54371183</v>
      </c>
      <c r="S202" s="11">
        <v>59.12</v>
      </c>
      <c r="T202" s="11">
        <v>51.93750000000001</v>
      </c>
      <c r="U202" s="12">
        <v>2.16</v>
      </c>
      <c r="V202" s="12">
        <v>757.8</v>
      </c>
      <c r="W202" s="12">
        <v>19.0</v>
      </c>
      <c r="X202" s="8">
        <v>4506.0</v>
      </c>
      <c r="Y202" s="8">
        <v>593.0</v>
      </c>
      <c r="Z202" s="8">
        <v>611.0</v>
      </c>
      <c r="AA202" s="8">
        <v>1.589</v>
      </c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 ht="15.75" customHeight="1">
      <c r="A203" s="6">
        <v>202.0</v>
      </c>
      <c r="B203" s="7">
        <v>49511.0</v>
      </c>
      <c r="C203" s="8">
        <v>9.6</v>
      </c>
      <c r="D203" s="8">
        <v>93.94</v>
      </c>
      <c r="E203" s="8">
        <v>82.78</v>
      </c>
      <c r="F203" s="8">
        <v>9.6</v>
      </c>
      <c r="G203" s="8">
        <v>93.94</v>
      </c>
      <c r="H203" s="8">
        <v>82.78</v>
      </c>
      <c r="I203" s="8">
        <v>0.0</v>
      </c>
      <c r="J203" s="8">
        <v>23.2</v>
      </c>
      <c r="K203" s="8">
        <v>83.4</v>
      </c>
      <c r="L203" s="9">
        <f t="shared" si="1"/>
        <v>19.2</v>
      </c>
      <c r="M203" s="9">
        <f t="shared" si="2"/>
        <v>14.93059814</v>
      </c>
      <c r="N203" s="9">
        <f t="shared" si="3"/>
        <v>12</v>
      </c>
      <c r="O203" s="9">
        <f t="shared" si="4"/>
        <v>12.4</v>
      </c>
      <c r="P203" s="9">
        <f t="shared" si="6"/>
        <v>96</v>
      </c>
      <c r="Q203" s="9">
        <f t="shared" ref="Q203:R203" si="201">average(L197:L203)</f>
        <v>46.57142857</v>
      </c>
      <c r="R203" s="9">
        <f t="shared" si="201"/>
        <v>16.75050968</v>
      </c>
      <c r="S203" s="11">
        <v>57.54</v>
      </c>
      <c r="T203" s="11">
        <v>52.129999999999995</v>
      </c>
      <c r="U203" s="12">
        <v>2.53</v>
      </c>
      <c r="V203" s="12">
        <v>796.5</v>
      </c>
      <c r="W203" s="12">
        <v>17.0</v>
      </c>
      <c r="X203" s="8">
        <v>5078.0</v>
      </c>
      <c r="Y203" s="8">
        <v>671.0</v>
      </c>
      <c r="Z203" s="8">
        <v>648.0</v>
      </c>
      <c r="AA203" s="8">
        <v>1.781</v>
      </c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 ht="15.75" customHeight="1">
      <c r="A204" s="6">
        <v>203.0</v>
      </c>
      <c r="B204" s="7">
        <v>49512.0</v>
      </c>
      <c r="C204" s="8">
        <v>9.3</v>
      </c>
      <c r="D204" s="8">
        <v>89.43</v>
      </c>
      <c r="E204" s="8">
        <v>81.22</v>
      </c>
      <c r="F204" s="8">
        <v>9.3</v>
      </c>
      <c r="G204" s="8">
        <v>89.43</v>
      </c>
      <c r="H204" s="8">
        <v>81.22</v>
      </c>
      <c r="I204" s="8">
        <v>0.0</v>
      </c>
      <c r="J204" s="8">
        <v>22.1</v>
      </c>
      <c r="K204" s="8">
        <v>82.4</v>
      </c>
      <c r="L204" s="9">
        <f t="shared" si="1"/>
        <v>18.6</v>
      </c>
      <c r="M204" s="9">
        <f t="shared" si="2"/>
        <v>13.51011856</v>
      </c>
      <c r="N204" s="9">
        <f t="shared" si="3"/>
        <v>19.2</v>
      </c>
      <c r="O204" s="9">
        <f t="shared" si="4"/>
        <v>12</v>
      </c>
      <c r="P204" s="9">
        <f t="shared" si="6"/>
        <v>93</v>
      </c>
      <c r="Q204" s="9">
        <f t="shared" ref="Q204:R204" si="202">average(L198:L204)</f>
        <v>35.51428571</v>
      </c>
      <c r="R204" s="9">
        <f t="shared" si="202"/>
        <v>16.14369919</v>
      </c>
      <c r="S204" s="11">
        <v>58.12</v>
      </c>
      <c r="T204" s="11">
        <v>52.432500000000005</v>
      </c>
      <c r="U204" s="12">
        <v>2.86</v>
      </c>
      <c r="V204" s="12">
        <v>786.8</v>
      </c>
      <c r="W204" s="12">
        <v>19.0</v>
      </c>
      <c r="X204" s="8">
        <v>5314.0</v>
      </c>
      <c r="Y204" s="8">
        <v>607.0</v>
      </c>
      <c r="Z204" s="8">
        <v>609.0</v>
      </c>
      <c r="AA204" s="8">
        <v>1.893</v>
      </c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 ht="15.75" customHeight="1">
      <c r="A205" s="6">
        <v>204.0</v>
      </c>
      <c r="B205" s="7">
        <v>49513.0</v>
      </c>
      <c r="C205" s="8">
        <v>4.0</v>
      </c>
      <c r="D205" s="8">
        <v>92.49</v>
      </c>
      <c r="E205" s="8">
        <v>86.34</v>
      </c>
      <c r="F205" s="8">
        <v>4.0</v>
      </c>
      <c r="G205" s="8">
        <v>92.49</v>
      </c>
      <c r="H205" s="8">
        <v>86.34</v>
      </c>
      <c r="I205" s="8">
        <v>0.0</v>
      </c>
      <c r="J205" s="8">
        <v>22.5</v>
      </c>
      <c r="K205" s="8">
        <v>82.1</v>
      </c>
      <c r="L205" s="9">
        <f t="shared" si="1"/>
        <v>8</v>
      </c>
      <c r="M205" s="9">
        <f t="shared" si="2"/>
        <v>6.38846928</v>
      </c>
      <c r="N205" s="9">
        <f t="shared" si="3"/>
        <v>18.6</v>
      </c>
      <c r="O205" s="9">
        <f t="shared" si="4"/>
        <v>19.2</v>
      </c>
      <c r="P205" s="9">
        <f t="shared" si="6"/>
        <v>89.4</v>
      </c>
      <c r="Q205" s="9">
        <f t="shared" ref="Q205:R205" si="203">average(L199:L205)</f>
        <v>23.37142857</v>
      </c>
      <c r="R205" s="9">
        <f t="shared" si="203"/>
        <v>14.14719788</v>
      </c>
      <c r="S205" s="11">
        <v>58.85</v>
      </c>
      <c r="T205" s="11">
        <v>52.19</v>
      </c>
      <c r="U205" s="12">
        <v>2.27</v>
      </c>
      <c r="V205" s="12">
        <v>748.1</v>
      </c>
      <c r="W205" s="12">
        <v>18.0</v>
      </c>
      <c r="X205" s="8">
        <v>5441.0</v>
      </c>
      <c r="Y205" s="8">
        <v>631.0</v>
      </c>
      <c r="Z205" s="8">
        <v>709.0</v>
      </c>
      <c r="AA205" s="8">
        <v>1.956</v>
      </c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 ht="15.75" customHeight="1">
      <c r="A206" s="6">
        <v>205.0</v>
      </c>
      <c r="B206" s="7">
        <v>49514.0</v>
      </c>
      <c r="C206" s="8">
        <v>5.0</v>
      </c>
      <c r="D206" s="8">
        <v>88.85</v>
      </c>
      <c r="E206" s="8">
        <v>85.74</v>
      </c>
      <c r="F206" s="8">
        <v>5.0</v>
      </c>
      <c r="G206" s="8">
        <v>88.85</v>
      </c>
      <c r="H206" s="8">
        <v>85.74</v>
      </c>
      <c r="I206" s="8">
        <v>0.0</v>
      </c>
      <c r="J206" s="8">
        <v>21.1</v>
      </c>
      <c r="K206" s="8">
        <v>83.2</v>
      </c>
      <c r="L206" s="9">
        <f t="shared" si="1"/>
        <v>10</v>
      </c>
      <c r="M206" s="9">
        <f t="shared" si="2"/>
        <v>7.617999</v>
      </c>
      <c r="N206" s="9">
        <f t="shared" si="3"/>
        <v>8</v>
      </c>
      <c r="O206" s="9">
        <f t="shared" si="4"/>
        <v>18.6</v>
      </c>
      <c r="P206" s="9">
        <f t="shared" si="6"/>
        <v>4</v>
      </c>
      <c r="Q206" s="9">
        <f t="shared" ref="Q206:R206" si="204">average(L200:L206)</f>
        <v>12.02857143</v>
      </c>
      <c r="R206" s="9">
        <f t="shared" si="204"/>
        <v>9.184713221</v>
      </c>
      <c r="S206" s="11">
        <v>60.08</v>
      </c>
      <c r="T206" s="11">
        <v>52.8925</v>
      </c>
      <c r="U206" s="12">
        <v>2.88</v>
      </c>
      <c r="V206" s="12">
        <v>724.4</v>
      </c>
      <c r="W206" s="12">
        <v>17.0</v>
      </c>
      <c r="X206" s="8">
        <v>4986.0</v>
      </c>
      <c r="Y206" s="8">
        <v>654.0</v>
      </c>
      <c r="Z206" s="8">
        <v>653.0</v>
      </c>
      <c r="AA206" s="8">
        <v>1.851</v>
      </c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 ht="15.75" customHeight="1">
      <c r="A207" s="6">
        <v>206.0</v>
      </c>
      <c r="B207" s="7">
        <v>49515.0</v>
      </c>
      <c r="C207" s="8">
        <v>25.1</v>
      </c>
      <c r="D207" s="8">
        <v>83.23</v>
      </c>
      <c r="E207" s="8">
        <v>83.34</v>
      </c>
      <c r="F207" s="8">
        <v>25.1</v>
      </c>
      <c r="G207" s="8">
        <v>83.23</v>
      </c>
      <c r="H207" s="8">
        <v>83.34</v>
      </c>
      <c r="I207" s="8">
        <v>0.0</v>
      </c>
      <c r="J207" s="8">
        <v>21.5</v>
      </c>
      <c r="K207" s="8">
        <v>82.6</v>
      </c>
      <c r="L207" s="9">
        <f t="shared" si="1"/>
        <v>50.2</v>
      </c>
      <c r="M207" s="9">
        <f t="shared" si="2"/>
        <v>34.82066876</v>
      </c>
      <c r="N207" s="9">
        <f t="shared" si="3"/>
        <v>10</v>
      </c>
      <c r="O207" s="9">
        <f t="shared" si="4"/>
        <v>8</v>
      </c>
      <c r="P207" s="9">
        <f t="shared" si="6"/>
        <v>12.4</v>
      </c>
      <c r="Q207" s="9">
        <f t="shared" ref="Q207:R207" si="205">average(L201:L207)</f>
        <v>18.62857143</v>
      </c>
      <c r="R207" s="9">
        <f t="shared" si="205"/>
        <v>13.74747459</v>
      </c>
      <c r="S207" s="11">
        <v>53.29</v>
      </c>
      <c r="T207" s="11">
        <v>53.6325</v>
      </c>
      <c r="U207" s="12">
        <v>2.34</v>
      </c>
      <c r="V207" s="12">
        <v>777.1</v>
      </c>
      <c r="W207" s="12">
        <v>15.0</v>
      </c>
      <c r="X207" s="8">
        <v>5234.0</v>
      </c>
      <c r="Y207" s="8">
        <v>769.0</v>
      </c>
      <c r="Z207" s="8">
        <v>684.0</v>
      </c>
      <c r="AA207" s="8">
        <v>1.86</v>
      </c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 ht="15.75" customHeight="1">
      <c r="A208" s="6">
        <v>207.0</v>
      </c>
      <c r="B208" s="7">
        <v>49516.0</v>
      </c>
      <c r="C208" s="8">
        <v>26.1</v>
      </c>
      <c r="D208" s="8">
        <v>83.11</v>
      </c>
      <c r="E208" s="8">
        <v>82.96</v>
      </c>
      <c r="F208" s="8">
        <v>26.1</v>
      </c>
      <c r="G208" s="8">
        <v>83.11</v>
      </c>
      <c r="H208" s="8">
        <v>82.96</v>
      </c>
      <c r="I208" s="8">
        <v>0.0</v>
      </c>
      <c r="J208" s="8">
        <v>28.0</v>
      </c>
      <c r="K208" s="8">
        <v>84.2</v>
      </c>
      <c r="L208" s="9">
        <f t="shared" si="1"/>
        <v>52.2</v>
      </c>
      <c r="M208" s="9">
        <f t="shared" si="2"/>
        <v>35.99088523</v>
      </c>
      <c r="N208" s="9">
        <f t="shared" si="3"/>
        <v>50.2</v>
      </c>
      <c r="O208" s="9">
        <f t="shared" si="4"/>
        <v>10</v>
      </c>
      <c r="P208" s="9">
        <f t="shared" si="6"/>
        <v>12</v>
      </c>
      <c r="Q208" s="9">
        <f t="shared" ref="Q208:R208" si="206">average(L202:L208)</f>
        <v>24.31428571</v>
      </c>
      <c r="R208" s="9">
        <f t="shared" si="206"/>
        <v>17.5122181</v>
      </c>
      <c r="S208" s="11">
        <v>46.35</v>
      </c>
      <c r="T208" s="11">
        <v>54.64</v>
      </c>
      <c r="U208" s="12">
        <v>2.34</v>
      </c>
      <c r="V208" s="12">
        <v>767.5</v>
      </c>
      <c r="W208" s="12">
        <v>22.0</v>
      </c>
      <c r="X208" s="8">
        <v>5760.0</v>
      </c>
      <c r="Y208" s="8">
        <v>518.0</v>
      </c>
      <c r="Z208" s="8">
        <v>584.0</v>
      </c>
      <c r="AA208" s="8">
        <v>2.016</v>
      </c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 ht="15.75" customHeight="1">
      <c r="A209" s="6">
        <v>208.0</v>
      </c>
      <c r="B209" s="7">
        <v>49517.0</v>
      </c>
      <c r="C209" s="8">
        <v>29.2</v>
      </c>
      <c r="D209" s="8">
        <v>90.88</v>
      </c>
      <c r="E209" s="8">
        <v>79.81</v>
      </c>
      <c r="F209" s="8">
        <v>29.2</v>
      </c>
      <c r="G209" s="8">
        <v>90.88</v>
      </c>
      <c r="H209" s="8">
        <v>79.81</v>
      </c>
      <c r="I209" s="8">
        <v>0.0</v>
      </c>
      <c r="J209" s="8">
        <v>21.3</v>
      </c>
      <c r="K209" s="8">
        <v>81.5</v>
      </c>
      <c r="L209" s="9">
        <f t="shared" si="1"/>
        <v>58.4</v>
      </c>
      <c r="M209" s="9">
        <f t="shared" si="2"/>
        <v>42.35829555</v>
      </c>
      <c r="N209" s="9">
        <f t="shared" si="3"/>
        <v>52.2</v>
      </c>
      <c r="O209" s="9">
        <f t="shared" si="4"/>
        <v>50.2</v>
      </c>
      <c r="P209" s="9">
        <f t="shared" si="6"/>
        <v>19.2</v>
      </c>
      <c r="Q209" s="9">
        <f t="shared" ref="Q209:R209" si="207">average(L203:L209)</f>
        <v>30.94285714</v>
      </c>
      <c r="R209" s="9">
        <f t="shared" si="207"/>
        <v>22.23100493</v>
      </c>
      <c r="S209" s="11">
        <v>46.35</v>
      </c>
      <c r="T209" s="11">
        <v>54.435</v>
      </c>
      <c r="U209" s="12">
        <v>2.47</v>
      </c>
      <c r="V209" s="12">
        <v>757.8</v>
      </c>
      <c r="W209" s="12">
        <v>18.0</v>
      </c>
      <c r="X209" s="8">
        <v>5996.0</v>
      </c>
      <c r="Y209" s="8">
        <v>611.0</v>
      </c>
      <c r="Z209" s="8">
        <v>484.0</v>
      </c>
      <c r="AA209" s="8">
        <v>2.204</v>
      </c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 ht="15.75" customHeight="1">
      <c r="A210" s="6">
        <v>209.0</v>
      </c>
      <c r="B210" s="7">
        <v>49518.0</v>
      </c>
      <c r="C210" s="8">
        <v>21.8</v>
      </c>
      <c r="D210" s="8">
        <v>91.63</v>
      </c>
      <c r="E210" s="8">
        <v>84.07</v>
      </c>
      <c r="F210" s="8">
        <v>21.8</v>
      </c>
      <c r="G210" s="8">
        <v>91.63</v>
      </c>
      <c r="H210" s="8">
        <v>84.07</v>
      </c>
      <c r="I210" s="8">
        <v>0.0</v>
      </c>
      <c r="J210" s="8">
        <v>24.0</v>
      </c>
      <c r="K210" s="8">
        <v>82.4</v>
      </c>
      <c r="L210" s="9">
        <f t="shared" si="1"/>
        <v>43.6</v>
      </c>
      <c r="M210" s="9">
        <f t="shared" si="2"/>
        <v>33.58653668</v>
      </c>
      <c r="N210" s="9">
        <f t="shared" si="3"/>
        <v>58.4</v>
      </c>
      <c r="O210" s="9">
        <f t="shared" si="4"/>
        <v>52.2</v>
      </c>
      <c r="P210" s="9">
        <f t="shared" si="6"/>
        <v>18.6</v>
      </c>
      <c r="Q210" s="9">
        <f t="shared" ref="Q210:R210" si="208">average(L204:L210)</f>
        <v>34.42857143</v>
      </c>
      <c r="R210" s="9">
        <f t="shared" si="208"/>
        <v>24.89613901</v>
      </c>
      <c r="S210" s="11">
        <v>50.36</v>
      </c>
      <c r="T210" s="11">
        <v>54.455</v>
      </c>
      <c r="U210" s="12">
        <v>2.35</v>
      </c>
      <c r="V210" s="12">
        <v>815.9</v>
      </c>
      <c r="W210" s="12">
        <v>18.0</v>
      </c>
      <c r="X210" s="8">
        <v>5474.0</v>
      </c>
      <c r="Y210" s="8">
        <v>624.0</v>
      </c>
      <c r="Z210" s="8">
        <v>498.0</v>
      </c>
      <c r="AA210" s="8">
        <v>1.974</v>
      </c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 ht="15.75" customHeight="1">
      <c r="A211" s="6">
        <v>210.0</v>
      </c>
      <c r="B211" s="7">
        <v>49519.0</v>
      </c>
      <c r="C211" s="8">
        <v>22.4</v>
      </c>
      <c r="D211" s="8">
        <v>94.06</v>
      </c>
      <c r="E211" s="8">
        <v>84.93</v>
      </c>
      <c r="F211" s="8">
        <v>22.4</v>
      </c>
      <c r="G211" s="8">
        <v>94.06</v>
      </c>
      <c r="H211" s="8">
        <v>84.93</v>
      </c>
      <c r="I211" s="8">
        <v>0.0</v>
      </c>
      <c r="J211" s="8">
        <v>21.5</v>
      </c>
      <c r="K211" s="8">
        <v>77.7</v>
      </c>
      <c r="L211" s="9">
        <f t="shared" si="1"/>
        <v>44.8</v>
      </c>
      <c r="M211" s="9">
        <f t="shared" si="2"/>
        <v>35.78855078</v>
      </c>
      <c r="N211" s="9">
        <f t="shared" si="3"/>
        <v>43.6</v>
      </c>
      <c r="O211" s="9">
        <f t="shared" si="4"/>
        <v>58.4</v>
      </c>
      <c r="P211" s="9">
        <f t="shared" si="6"/>
        <v>8</v>
      </c>
      <c r="Q211" s="9">
        <f t="shared" ref="Q211:R211" si="209">average(L205:L211)</f>
        <v>38.17142857</v>
      </c>
      <c r="R211" s="9">
        <f t="shared" si="209"/>
        <v>28.07877218</v>
      </c>
      <c r="S211" s="11">
        <v>50.75</v>
      </c>
      <c r="T211" s="11">
        <v>53.537499999999994</v>
      </c>
      <c r="U211" s="12">
        <v>2.09</v>
      </c>
      <c r="V211" s="12">
        <v>815.9</v>
      </c>
      <c r="W211" s="12">
        <v>22.0</v>
      </c>
      <c r="X211" s="8">
        <v>4726.0</v>
      </c>
      <c r="Y211" s="8">
        <v>507.0</v>
      </c>
      <c r="Z211" s="8">
        <v>536.0</v>
      </c>
      <c r="AA211" s="8">
        <v>1.711</v>
      </c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 ht="15.75" customHeight="1">
      <c r="A212" s="6">
        <v>211.0</v>
      </c>
      <c r="B212" s="7">
        <v>49520.0</v>
      </c>
      <c r="C212" s="8">
        <v>31.2</v>
      </c>
      <c r="D212" s="8">
        <v>91.25</v>
      </c>
      <c r="E212" s="8">
        <v>85.2</v>
      </c>
      <c r="F212" s="8">
        <v>31.2</v>
      </c>
      <c r="G212" s="8">
        <v>91.25</v>
      </c>
      <c r="H212" s="8">
        <v>85.2</v>
      </c>
      <c r="I212" s="8">
        <v>0.0</v>
      </c>
      <c r="J212" s="8">
        <v>21.6</v>
      </c>
      <c r="K212" s="8">
        <v>81.9</v>
      </c>
      <c r="L212" s="9">
        <f t="shared" si="1"/>
        <v>62.4</v>
      </c>
      <c r="M212" s="9">
        <f t="shared" si="2"/>
        <v>48.51288</v>
      </c>
      <c r="N212" s="9">
        <f t="shared" si="3"/>
        <v>44.8</v>
      </c>
      <c r="O212" s="9">
        <f t="shared" si="4"/>
        <v>43.6</v>
      </c>
      <c r="P212" s="9">
        <f t="shared" si="6"/>
        <v>10</v>
      </c>
      <c r="Q212" s="9">
        <f t="shared" ref="Q212:R212" si="210">average(L206:L212)</f>
        <v>45.94285714</v>
      </c>
      <c r="R212" s="9">
        <f t="shared" si="210"/>
        <v>34.09654514</v>
      </c>
      <c r="S212" s="11">
        <v>50.7</v>
      </c>
      <c r="T212" s="11">
        <v>52.647499999999994</v>
      </c>
      <c r="U212" s="12">
        <v>2.42</v>
      </c>
      <c r="V212" s="12">
        <v>767.5</v>
      </c>
      <c r="W212" s="12">
        <v>20.0</v>
      </c>
      <c r="X212" s="8">
        <v>4703.0</v>
      </c>
      <c r="Y212" s="8">
        <v>572.0</v>
      </c>
      <c r="Z212" s="8">
        <v>526.0</v>
      </c>
      <c r="AA212" s="8">
        <v>1.667</v>
      </c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 ht="15.75" customHeight="1">
      <c r="A213" s="6">
        <v>212.0</v>
      </c>
      <c r="B213" s="7">
        <v>49521.0</v>
      </c>
      <c r="C213" s="8">
        <v>40.9</v>
      </c>
      <c r="D213" s="8">
        <v>91.61</v>
      </c>
      <c r="E213" s="8">
        <v>83.75</v>
      </c>
      <c r="F213" s="8">
        <v>40.9</v>
      </c>
      <c r="G213" s="8">
        <v>91.61</v>
      </c>
      <c r="H213" s="8">
        <v>83.75</v>
      </c>
      <c r="I213" s="8">
        <v>0.0</v>
      </c>
      <c r="J213" s="8">
        <v>23.4</v>
      </c>
      <c r="K213" s="8">
        <v>82.8</v>
      </c>
      <c r="L213" s="9">
        <f t="shared" si="1"/>
        <v>81.8</v>
      </c>
      <c r="M213" s="9">
        <f t="shared" si="2"/>
        <v>62.75972075</v>
      </c>
      <c r="N213" s="9">
        <f t="shared" si="3"/>
        <v>62.4</v>
      </c>
      <c r="O213" s="9">
        <f t="shared" si="4"/>
        <v>44.8</v>
      </c>
      <c r="P213" s="9">
        <f t="shared" si="6"/>
        <v>50.2</v>
      </c>
      <c r="Q213" s="9">
        <f t="shared" ref="Q213:R213" si="211">average(L207:L213)</f>
        <v>56.2</v>
      </c>
      <c r="R213" s="9">
        <f t="shared" si="211"/>
        <v>41.97393397</v>
      </c>
      <c r="S213" s="11">
        <v>50.81</v>
      </c>
      <c r="T213" s="11">
        <v>52.195</v>
      </c>
      <c r="U213" s="12">
        <v>2.54</v>
      </c>
      <c r="V213" s="12">
        <v>796.5</v>
      </c>
      <c r="W213" s="12">
        <v>17.0</v>
      </c>
      <c r="X213" s="8">
        <v>4826.0</v>
      </c>
      <c r="Y213" s="8">
        <v>664.0</v>
      </c>
      <c r="Z213" s="8">
        <v>606.0</v>
      </c>
      <c r="AA213" s="8">
        <v>1.709</v>
      </c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 ht="15.75" customHeight="1">
      <c r="A214" s="6">
        <v>213.0</v>
      </c>
      <c r="B214" s="7">
        <v>49522.0</v>
      </c>
      <c r="C214" s="8">
        <v>31.3</v>
      </c>
      <c r="D214" s="8">
        <v>92.5</v>
      </c>
      <c r="E214" s="8">
        <v>81.32</v>
      </c>
      <c r="F214" s="8">
        <v>31.3</v>
      </c>
      <c r="G214" s="8">
        <v>92.5</v>
      </c>
      <c r="H214" s="8">
        <v>81.32</v>
      </c>
      <c r="I214" s="8">
        <v>0.0</v>
      </c>
      <c r="J214" s="8">
        <v>25.3</v>
      </c>
      <c r="K214" s="8">
        <v>80.8</v>
      </c>
      <c r="L214" s="9">
        <f t="shared" si="1"/>
        <v>62.6</v>
      </c>
      <c r="M214" s="9">
        <f t="shared" si="2"/>
        <v>47.088346</v>
      </c>
      <c r="N214" s="9">
        <f t="shared" si="3"/>
        <v>81.8</v>
      </c>
      <c r="O214" s="9">
        <f t="shared" si="4"/>
        <v>62.4</v>
      </c>
      <c r="P214" s="9">
        <f t="shared" si="6"/>
        <v>52.2</v>
      </c>
      <c r="Q214" s="9">
        <f t="shared" ref="Q214:R214" si="212">average(L208:L214)</f>
        <v>57.97142857</v>
      </c>
      <c r="R214" s="9">
        <f t="shared" si="212"/>
        <v>43.72645928</v>
      </c>
      <c r="S214" s="11">
        <v>50.69</v>
      </c>
      <c r="T214" s="11">
        <v>52.1375</v>
      </c>
      <c r="U214" s="12">
        <v>2.63</v>
      </c>
      <c r="V214" s="12">
        <v>846.3</v>
      </c>
      <c r="W214" s="12">
        <v>16.0</v>
      </c>
      <c r="X214" s="8">
        <v>5308.0</v>
      </c>
      <c r="Y214" s="8">
        <v>705.0</v>
      </c>
      <c r="Z214" s="8">
        <v>560.0</v>
      </c>
      <c r="AA214" s="8">
        <v>2.007</v>
      </c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 ht="15.75" customHeight="1">
      <c r="A215" s="6">
        <v>214.0</v>
      </c>
      <c r="B215" s="7">
        <v>49523.0</v>
      </c>
      <c r="C215" s="8">
        <v>39.2</v>
      </c>
      <c r="D215" s="8">
        <v>87.76</v>
      </c>
      <c r="E215" s="8">
        <v>84.28</v>
      </c>
      <c r="F215" s="8">
        <v>39.2</v>
      </c>
      <c r="G215" s="8">
        <v>87.76</v>
      </c>
      <c r="H215" s="8">
        <v>84.28</v>
      </c>
      <c r="I215" s="8">
        <v>0.0</v>
      </c>
      <c r="J215" s="8">
        <v>24.4</v>
      </c>
      <c r="K215" s="8">
        <v>78.6</v>
      </c>
      <c r="L215" s="9">
        <f t="shared" si="1"/>
        <v>78.4</v>
      </c>
      <c r="M215" s="9">
        <f t="shared" si="2"/>
        <v>57.98787635</v>
      </c>
      <c r="N215" s="9">
        <f t="shared" si="3"/>
        <v>62.6</v>
      </c>
      <c r="O215" s="9">
        <f t="shared" si="4"/>
        <v>81.8</v>
      </c>
      <c r="P215" s="9">
        <f t="shared" si="6"/>
        <v>58.4</v>
      </c>
      <c r="Q215" s="9">
        <f t="shared" ref="Q215:R215" si="213">average(L209:L215)</f>
        <v>61.71428571</v>
      </c>
      <c r="R215" s="9">
        <f t="shared" si="213"/>
        <v>46.86888659</v>
      </c>
      <c r="S215" s="11">
        <v>50.69</v>
      </c>
      <c r="T215" s="11">
        <v>52.300000000000004</v>
      </c>
      <c r="U215" s="12">
        <v>2.82</v>
      </c>
      <c r="V215" s="12">
        <v>858.8</v>
      </c>
      <c r="W215" s="12">
        <v>16.0</v>
      </c>
      <c r="X215" s="8">
        <v>5862.0</v>
      </c>
      <c r="Y215" s="8">
        <v>710.0</v>
      </c>
      <c r="Z215" s="8">
        <v>610.0</v>
      </c>
      <c r="AA215" s="8">
        <v>2.193</v>
      </c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 ht="15.75" customHeight="1">
      <c r="A216" s="6">
        <v>215.0</v>
      </c>
      <c r="B216" s="7">
        <v>49524.0</v>
      </c>
      <c r="C216" s="8">
        <v>34.3</v>
      </c>
      <c r="D216" s="8">
        <v>89.94</v>
      </c>
      <c r="E216" s="8">
        <v>85.25</v>
      </c>
      <c r="F216" s="8">
        <v>34.3</v>
      </c>
      <c r="G216" s="8">
        <v>89.94</v>
      </c>
      <c r="H216" s="8">
        <v>85.25</v>
      </c>
      <c r="I216" s="8">
        <v>0.0</v>
      </c>
      <c r="J216" s="8">
        <v>23.9</v>
      </c>
      <c r="K216" s="8">
        <v>80.8</v>
      </c>
      <c r="L216" s="9">
        <f t="shared" si="1"/>
        <v>68.6</v>
      </c>
      <c r="M216" s="9">
        <f t="shared" si="2"/>
        <v>52.5982611</v>
      </c>
      <c r="N216" s="9">
        <f t="shared" si="3"/>
        <v>78.4</v>
      </c>
      <c r="O216" s="9">
        <f t="shared" si="4"/>
        <v>62.6</v>
      </c>
      <c r="P216" s="9">
        <f t="shared" si="6"/>
        <v>43.6</v>
      </c>
      <c r="Q216" s="9">
        <f t="shared" ref="Q216:R216" si="214">average(L210:L216)</f>
        <v>63.17142857</v>
      </c>
      <c r="R216" s="9">
        <f t="shared" si="214"/>
        <v>48.33173881</v>
      </c>
      <c r="S216" s="11">
        <v>51.59</v>
      </c>
      <c r="T216" s="11">
        <v>52.03750000000001</v>
      </c>
      <c r="U216" s="12">
        <v>2.85</v>
      </c>
      <c r="V216" s="12">
        <v>775.8</v>
      </c>
      <c r="W216" s="12">
        <v>17.0</v>
      </c>
      <c r="X216" s="8">
        <v>6081.0</v>
      </c>
      <c r="Y216" s="8">
        <v>667.0</v>
      </c>
      <c r="Z216" s="8">
        <v>508.0</v>
      </c>
      <c r="AA216" s="8">
        <v>2.35</v>
      </c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 ht="15.75" customHeight="1">
      <c r="A217" s="6">
        <v>216.0</v>
      </c>
      <c r="B217" s="7">
        <v>49525.0</v>
      </c>
      <c r="C217" s="8">
        <v>31.0</v>
      </c>
      <c r="D217" s="8">
        <v>92.66</v>
      </c>
      <c r="E217" s="8">
        <v>85.87</v>
      </c>
      <c r="F217" s="8">
        <v>31.0</v>
      </c>
      <c r="G217" s="8">
        <v>92.66</v>
      </c>
      <c r="H217" s="8">
        <v>85.87</v>
      </c>
      <c r="I217" s="8">
        <v>0.0</v>
      </c>
      <c r="J217" s="8">
        <v>24.1</v>
      </c>
      <c r="K217" s="8">
        <v>79.5</v>
      </c>
      <c r="L217" s="9">
        <f t="shared" si="1"/>
        <v>62</v>
      </c>
      <c r="M217" s="9">
        <f t="shared" si="2"/>
        <v>49.33162804</v>
      </c>
      <c r="N217" s="9">
        <f t="shared" si="3"/>
        <v>68.6</v>
      </c>
      <c r="O217" s="9">
        <f t="shared" si="4"/>
        <v>78.4</v>
      </c>
      <c r="P217" s="9">
        <f t="shared" si="6"/>
        <v>44.8</v>
      </c>
      <c r="Q217" s="9">
        <f t="shared" ref="Q217:R217" si="215">average(L211:L217)</f>
        <v>65.8</v>
      </c>
      <c r="R217" s="9">
        <f t="shared" si="215"/>
        <v>50.58103758</v>
      </c>
      <c r="S217" s="11">
        <v>52.09</v>
      </c>
      <c r="T217" s="11">
        <v>52.669999999999995</v>
      </c>
      <c r="U217" s="12">
        <v>2.29</v>
      </c>
      <c r="V217" s="12">
        <v>803.4</v>
      </c>
      <c r="W217" s="12">
        <v>16.0</v>
      </c>
      <c r="X217" s="8">
        <v>6168.0</v>
      </c>
      <c r="Y217" s="8">
        <v>708.0</v>
      </c>
      <c r="Z217" s="8">
        <v>505.0</v>
      </c>
      <c r="AA217" s="8">
        <v>2.431</v>
      </c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 ht="15.75" customHeight="1">
      <c r="A218" s="6">
        <v>217.0</v>
      </c>
      <c r="B218" s="7">
        <v>49526.0</v>
      </c>
      <c r="C218" s="8">
        <v>23.2</v>
      </c>
      <c r="D218" s="8">
        <v>91.77</v>
      </c>
      <c r="E218" s="8">
        <v>84.91</v>
      </c>
      <c r="F218" s="8">
        <v>23.2</v>
      </c>
      <c r="G218" s="8">
        <v>91.77</v>
      </c>
      <c r="H218" s="8">
        <v>84.91</v>
      </c>
      <c r="I218" s="8">
        <v>0.0</v>
      </c>
      <c r="J218" s="8">
        <v>24.8</v>
      </c>
      <c r="K218" s="8">
        <v>79.4</v>
      </c>
      <c r="L218" s="9">
        <f t="shared" si="1"/>
        <v>46.4</v>
      </c>
      <c r="M218" s="9">
        <f t="shared" si="2"/>
        <v>36.15576485</v>
      </c>
      <c r="N218" s="9">
        <f t="shared" si="3"/>
        <v>62</v>
      </c>
      <c r="O218" s="9">
        <f t="shared" si="4"/>
        <v>68.6</v>
      </c>
      <c r="P218" s="9">
        <f t="shared" si="6"/>
        <v>62.4</v>
      </c>
      <c r="Q218" s="9">
        <f t="shared" ref="Q218:R218" si="216">average(L212:L218)</f>
        <v>66.02857143</v>
      </c>
      <c r="R218" s="9">
        <f t="shared" si="216"/>
        <v>50.63349673</v>
      </c>
      <c r="S218" s="11">
        <v>52.09</v>
      </c>
      <c r="T218" s="11">
        <v>52.22749999999999</v>
      </c>
      <c r="U218" s="12">
        <v>2.3</v>
      </c>
      <c r="V218" s="12">
        <v>886.4</v>
      </c>
      <c r="W218" s="12">
        <v>18.0</v>
      </c>
      <c r="X218" s="8">
        <v>6086.0</v>
      </c>
      <c r="Y218" s="8">
        <v>640.0</v>
      </c>
      <c r="Z218" s="8">
        <v>523.0</v>
      </c>
      <c r="AA218" s="8">
        <v>2.386</v>
      </c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 ht="15.75" customHeight="1">
      <c r="A219" s="6">
        <v>218.0</v>
      </c>
      <c r="B219" s="7">
        <v>49527.0</v>
      </c>
      <c r="C219" s="8">
        <v>33.9</v>
      </c>
      <c r="D219" s="8">
        <v>89.13</v>
      </c>
      <c r="E219" s="8">
        <v>85.03</v>
      </c>
      <c r="F219" s="8">
        <v>33.9</v>
      </c>
      <c r="G219" s="8">
        <v>89.13</v>
      </c>
      <c r="H219" s="8">
        <v>85.03</v>
      </c>
      <c r="I219" s="8">
        <v>0.0</v>
      </c>
      <c r="J219" s="8">
        <v>23.2</v>
      </c>
      <c r="K219" s="8">
        <v>81.6</v>
      </c>
      <c r="L219" s="9">
        <f t="shared" si="1"/>
        <v>67.8</v>
      </c>
      <c r="M219" s="9">
        <f t="shared" si="2"/>
        <v>51.38374804</v>
      </c>
      <c r="N219" s="9">
        <f t="shared" si="3"/>
        <v>46.4</v>
      </c>
      <c r="O219" s="9">
        <f t="shared" si="4"/>
        <v>62</v>
      </c>
      <c r="P219" s="9">
        <f t="shared" si="6"/>
        <v>81.8</v>
      </c>
      <c r="Q219" s="9">
        <f t="shared" ref="Q219:R219" si="217">average(L213:L219)</f>
        <v>66.8</v>
      </c>
      <c r="R219" s="9">
        <f t="shared" si="217"/>
        <v>51.04362073</v>
      </c>
      <c r="S219" s="11">
        <v>54.44</v>
      </c>
      <c r="T219" s="11">
        <v>52.5575</v>
      </c>
      <c r="U219" s="12">
        <v>2.31</v>
      </c>
      <c r="V219" s="12">
        <v>941.8</v>
      </c>
      <c r="W219" s="12">
        <v>16.0</v>
      </c>
      <c r="X219" s="8">
        <v>5770.0</v>
      </c>
      <c r="Y219" s="8">
        <v>700.0</v>
      </c>
      <c r="Z219" s="8">
        <v>560.0</v>
      </c>
      <c r="AA219" s="8">
        <v>2.225</v>
      </c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 ht="15.75" customHeight="1">
      <c r="A220" s="6">
        <v>219.0</v>
      </c>
      <c r="B220" s="7">
        <v>49528.0</v>
      </c>
      <c r="C220" s="8">
        <v>24.5</v>
      </c>
      <c r="D220" s="8">
        <v>89.97</v>
      </c>
      <c r="E220" s="8">
        <v>85.28</v>
      </c>
      <c r="F220" s="8">
        <v>24.5</v>
      </c>
      <c r="G220" s="8">
        <v>89.97</v>
      </c>
      <c r="H220" s="8">
        <v>85.28</v>
      </c>
      <c r="I220" s="8">
        <v>0.0</v>
      </c>
      <c r="J220" s="8">
        <v>23.5</v>
      </c>
      <c r="K220" s="8">
        <v>81.4</v>
      </c>
      <c r="L220" s="9">
        <f t="shared" si="1"/>
        <v>49</v>
      </c>
      <c r="M220" s="9">
        <f t="shared" si="2"/>
        <v>37.59594384</v>
      </c>
      <c r="N220" s="9">
        <f t="shared" si="3"/>
        <v>67.8</v>
      </c>
      <c r="O220" s="9">
        <f t="shared" si="4"/>
        <v>46.4</v>
      </c>
      <c r="P220" s="9">
        <f t="shared" si="6"/>
        <v>62.6</v>
      </c>
      <c r="Q220" s="9">
        <f t="shared" ref="Q220:R220" si="218">average(L214:L220)</f>
        <v>62.11428571</v>
      </c>
      <c r="R220" s="9">
        <f t="shared" si="218"/>
        <v>47.44879546</v>
      </c>
      <c r="S220" s="11">
        <v>55.3</v>
      </c>
      <c r="T220" s="11">
        <v>52.8925</v>
      </c>
      <c r="U220" s="12">
        <v>1.71</v>
      </c>
      <c r="V220" s="12">
        <v>803.4</v>
      </c>
      <c r="W220" s="12">
        <v>24.0</v>
      </c>
      <c r="X220" s="8">
        <v>5297.0</v>
      </c>
      <c r="Y220" s="8">
        <v>470.0</v>
      </c>
      <c r="Z220" s="8">
        <v>375.0</v>
      </c>
      <c r="AA220" s="8">
        <v>1.957</v>
      </c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 ht="15.75" customHeight="1">
      <c r="A221" s="6">
        <v>220.0</v>
      </c>
      <c r="B221" s="7">
        <v>49529.0</v>
      </c>
      <c r="C221" s="8">
        <v>41.2</v>
      </c>
      <c r="D221" s="8">
        <v>85.74</v>
      </c>
      <c r="E221" s="8">
        <v>73.14</v>
      </c>
      <c r="F221" s="8">
        <v>41.2</v>
      </c>
      <c r="G221" s="8">
        <v>85.74</v>
      </c>
      <c r="H221" s="8">
        <v>73.14</v>
      </c>
      <c r="I221" s="8">
        <v>0.0</v>
      </c>
      <c r="J221" s="8">
        <v>21.4</v>
      </c>
      <c r="K221" s="8">
        <v>78.4</v>
      </c>
      <c r="L221" s="9">
        <f t="shared" si="1"/>
        <v>82.4</v>
      </c>
      <c r="M221" s="9">
        <f t="shared" si="2"/>
        <v>51.67323446</v>
      </c>
      <c r="N221" s="9">
        <f t="shared" si="3"/>
        <v>49</v>
      </c>
      <c r="O221" s="9">
        <f t="shared" si="4"/>
        <v>67.8</v>
      </c>
      <c r="P221" s="9">
        <f t="shared" si="6"/>
        <v>78.4</v>
      </c>
      <c r="Q221" s="9">
        <f t="shared" ref="Q221:R221" si="219">average(L215:L221)</f>
        <v>64.94285714</v>
      </c>
      <c r="R221" s="9">
        <f t="shared" si="219"/>
        <v>48.10377953</v>
      </c>
      <c r="S221" s="11">
        <v>52.65</v>
      </c>
      <c r="T221" s="11">
        <v>53.292500000000004</v>
      </c>
      <c r="U221" s="12">
        <v>2.07</v>
      </c>
      <c r="V221" s="12">
        <v>786.8</v>
      </c>
      <c r="W221" s="12">
        <v>19.0</v>
      </c>
      <c r="X221" s="8">
        <v>5168.0</v>
      </c>
      <c r="Y221" s="8">
        <v>580.0</v>
      </c>
      <c r="Z221" s="8">
        <v>423.0</v>
      </c>
      <c r="AA221" s="8">
        <v>2.078</v>
      </c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 ht="15.75" customHeight="1">
      <c r="A222" s="6">
        <v>221.0</v>
      </c>
      <c r="B222" s="7">
        <v>49530.0</v>
      </c>
      <c r="C222" s="8">
        <v>54.2</v>
      </c>
      <c r="D222" s="8">
        <v>89.28</v>
      </c>
      <c r="E222" s="8">
        <v>86.79</v>
      </c>
      <c r="F222" s="8">
        <v>54.2</v>
      </c>
      <c r="G222" s="8">
        <v>89.28</v>
      </c>
      <c r="H222" s="8">
        <v>86.79</v>
      </c>
      <c r="I222" s="8">
        <v>0.0</v>
      </c>
      <c r="J222" s="8">
        <v>21.4</v>
      </c>
      <c r="K222" s="8">
        <v>78.4</v>
      </c>
      <c r="L222" s="9">
        <f t="shared" si="1"/>
        <v>108.4</v>
      </c>
      <c r="M222" s="9">
        <f t="shared" si="2"/>
        <v>83.99494541</v>
      </c>
      <c r="N222" s="9">
        <f t="shared" si="3"/>
        <v>82.4</v>
      </c>
      <c r="O222" s="9">
        <f t="shared" si="4"/>
        <v>49</v>
      </c>
      <c r="P222" s="9">
        <f t="shared" si="6"/>
        <v>68.6</v>
      </c>
      <c r="Q222" s="9">
        <f t="shared" ref="Q222:R222" si="220">average(L216:L222)</f>
        <v>69.22857143</v>
      </c>
      <c r="R222" s="9">
        <f t="shared" si="220"/>
        <v>51.81907511</v>
      </c>
      <c r="S222" s="11">
        <v>52.29</v>
      </c>
      <c r="T222" s="11">
        <v>53.405</v>
      </c>
      <c r="U222" s="12">
        <v>2.44</v>
      </c>
      <c r="V222" s="12">
        <v>806.2</v>
      </c>
      <c r="W222" s="12">
        <v>18.0</v>
      </c>
      <c r="X222" s="8">
        <v>5800.0</v>
      </c>
      <c r="Y222" s="8">
        <v>620.0</v>
      </c>
      <c r="Z222" s="8">
        <v>493.0</v>
      </c>
      <c r="AA222" s="8">
        <v>2.22</v>
      </c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 ht="15.75" customHeight="1">
      <c r="A223" s="6">
        <v>222.0</v>
      </c>
      <c r="B223" s="7">
        <v>49531.0</v>
      </c>
      <c r="C223" s="8">
        <v>33.1</v>
      </c>
      <c r="D223" s="8">
        <v>89.93</v>
      </c>
      <c r="E223" s="8">
        <v>86.14</v>
      </c>
      <c r="F223" s="8">
        <v>33.1</v>
      </c>
      <c r="G223" s="8">
        <v>89.93</v>
      </c>
      <c r="H223" s="8">
        <v>86.14</v>
      </c>
      <c r="I223" s="8">
        <v>0.0</v>
      </c>
      <c r="J223" s="8">
        <v>21.4</v>
      </c>
      <c r="K223" s="8">
        <v>78.4</v>
      </c>
      <c r="L223" s="9">
        <f t="shared" si="1"/>
        <v>66.2</v>
      </c>
      <c r="M223" s="9">
        <f t="shared" si="2"/>
        <v>51.28229472</v>
      </c>
      <c r="N223" s="9">
        <f t="shared" si="3"/>
        <v>108.4</v>
      </c>
      <c r="O223" s="9">
        <f t="shared" si="4"/>
        <v>82.4</v>
      </c>
      <c r="P223" s="9">
        <f t="shared" si="6"/>
        <v>62</v>
      </c>
      <c r="Q223" s="9">
        <f t="shared" ref="Q223:R223" si="221">average(L217:L223)</f>
        <v>68.88571429</v>
      </c>
      <c r="R223" s="9">
        <f t="shared" si="221"/>
        <v>51.63107991</v>
      </c>
      <c r="S223" s="11">
        <v>52.29</v>
      </c>
      <c r="T223" s="11">
        <v>53.315</v>
      </c>
      <c r="U223" s="12">
        <v>2.43</v>
      </c>
      <c r="V223" s="12">
        <v>864.3</v>
      </c>
      <c r="W223" s="12">
        <v>19.0</v>
      </c>
      <c r="X223" s="8">
        <v>5873.0</v>
      </c>
      <c r="Y223" s="8">
        <v>580.0</v>
      </c>
      <c r="Z223" s="8">
        <v>437.0</v>
      </c>
      <c r="AA223" s="8">
        <v>2.234</v>
      </c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 ht="15.75" customHeight="1">
      <c r="A224" s="6">
        <v>223.0</v>
      </c>
      <c r="B224" s="7">
        <v>49532.0</v>
      </c>
      <c r="C224" s="8">
        <v>24.0</v>
      </c>
      <c r="D224" s="8">
        <v>90.4</v>
      </c>
      <c r="E224" s="8">
        <v>87.92</v>
      </c>
      <c r="F224" s="8">
        <v>24.0</v>
      </c>
      <c r="G224" s="8">
        <v>90.4</v>
      </c>
      <c r="H224" s="8">
        <v>87.92</v>
      </c>
      <c r="I224" s="8">
        <v>10.0</v>
      </c>
      <c r="J224" s="8">
        <v>21.4</v>
      </c>
      <c r="K224" s="8">
        <v>78.4</v>
      </c>
      <c r="L224" s="9">
        <f t="shared" si="1"/>
        <v>58</v>
      </c>
      <c r="M224" s="9">
        <f t="shared" si="2"/>
        <v>39.8280064</v>
      </c>
      <c r="N224" s="9">
        <f t="shared" si="3"/>
        <v>66.2</v>
      </c>
      <c r="O224" s="9">
        <f t="shared" si="4"/>
        <v>108.4</v>
      </c>
      <c r="P224" s="9">
        <f t="shared" si="6"/>
        <v>46.4</v>
      </c>
      <c r="Q224" s="9">
        <f t="shared" ref="Q224:R224" si="222">average(L218:L224)</f>
        <v>68.31428571</v>
      </c>
      <c r="R224" s="9">
        <f t="shared" si="222"/>
        <v>50.27341968</v>
      </c>
      <c r="S224" s="11">
        <v>53.75</v>
      </c>
      <c r="T224" s="11">
        <v>53.2675</v>
      </c>
      <c r="U224" s="12">
        <v>2.13</v>
      </c>
      <c r="V224" s="12">
        <v>874.0</v>
      </c>
      <c r="W224" s="12">
        <v>19.0</v>
      </c>
      <c r="X224" s="8">
        <v>5234.0</v>
      </c>
      <c r="Y224" s="8">
        <v>606.0</v>
      </c>
      <c r="Z224" s="8">
        <v>473.0</v>
      </c>
      <c r="AA224" s="8">
        <v>1.968</v>
      </c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 ht="15.75" customHeight="1">
      <c r="A225" s="6">
        <v>224.0</v>
      </c>
      <c r="B225" s="7">
        <v>49533.0</v>
      </c>
      <c r="C225" s="8">
        <v>25.2</v>
      </c>
      <c r="D225" s="8">
        <v>92.74</v>
      </c>
      <c r="E225" s="8">
        <v>84.76</v>
      </c>
      <c r="F225" s="8">
        <v>25.2</v>
      </c>
      <c r="G225" s="8">
        <v>92.74</v>
      </c>
      <c r="H225" s="8">
        <v>84.76</v>
      </c>
      <c r="I225" s="8">
        <v>20.0</v>
      </c>
      <c r="J225" s="8">
        <v>21.4</v>
      </c>
      <c r="K225" s="8">
        <v>78.4</v>
      </c>
      <c r="L225" s="9">
        <f t="shared" si="1"/>
        <v>70.4</v>
      </c>
      <c r="M225" s="9">
        <f t="shared" si="2"/>
        <v>42.9731577</v>
      </c>
      <c r="N225" s="9">
        <f t="shared" si="3"/>
        <v>58</v>
      </c>
      <c r="O225" s="9">
        <f t="shared" si="4"/>
        <v>66.2</v>
      </c>
      <c r="P225" s="9">
        <f t="shared" si="6"/>
        <v>67.8</v>
      </c>
      <c r="Q225" s="9">
        <f t="shared" ref="Q225:R225" si="223">average(L219:L225)</f>
        <v>71.74285714</v>
      </c>
      <c r="R225" s="9">
        <f t="shared" si="223"/>
        <v>51.24733294</v>
      </c>
      <c r="S225" s="11">
        <v>58.34</v>
      </c>
      <c r="T225" s="11">
        <v>52.205</v>
      </c>
      <c r="U225" s="12">
        <v>1.8</v>
      </c>
      <c r="V225" s="12">
        <v>815.9</v>
      </c>
      <c r="W225" s="12">
        <v>24.0</v>
      </c>
      <c r="X225" s="8">
        <v>4990.0</v>
      </c>
      <c r="Y225" s="8">
        <v>468.0</v>
      </c>
      <c r="Z225" s="8">
        <v>346.0</v>
      </c>
      <c r="AA225" s="8">
        <v>1.897</v>
      </c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 ht="15.75" customHeight="1">
      <c r="A226" s="6">
        <v>225.0</v>
      </c>
      <c r="B226" s="7">
        <v>49534.0</v>
      </c>
      <c r="C226" s="8">
        <v>24.5</v>
      </c>
      <c r="D226" s="8">
        <v>89.93</v>
      </c>
      <c r="E226" s="8">
        <v>83.21</v>
      </c>
      <c r="F226" s="8">
        <v>24.5</v>
      </c>
      <c r="G226" s="8">
        <v>89.93</v>
      </c>
      <c r="H226" s="8">
        <v>83.21</v>
      </c>
      <c r="I226" s="8">
        <v>29.0</v>
      </c>
      <c r="J226" s="8">
        <v>21.4</v>
      </c>
      <c r="K226" s="8">
        <v>78.4</v>
      </c>
      <c r="L226" s="9">
        <f t="shared" si="1"/>
        <v>78</v>
      </c>
      <c r="M226" s="9">
        <f t="shared" si="2"/>
        <v>41.53257297</v>
      </c>
      <c r="N226" s="9">
        <f t="shared" si="3"/>
        <v>70.4</v>
      </c>
      <c r="O226" s="9">
        <f t="shared" si="4"/>
        <v>58</v>
      </c>
      <c r="P226" s="9">
        <f t="shared" si="6"/>
        <v>49</v>
      </c>
      <c r="Q226" s="9">
        <f t="shared" ref="Q226:R226" si="224">average(L220:L226)</f>
        <v>73.2</v>
      </c>
      <c r="R226" s="9">
        <f t="shared" si="224"/>
        <v>49.84002221</v>
      </c>
      <c r="S226" s="11">
        <v>56.04</v>
      </c>
      <c r="T226" s="11">
        <v>52.68</v>
      </c>
      <c r="U226" s="12">
        <v>2.74</v>
      </c>
      <c r="V226" s="12">
        <v>786.8</v>
      </c>
      <c r="W226" s="12">
        <v>19.0</v>
      </c>
      <c r="X226" s="8">
        <v>4599.0</v>
      </c>
      <c r="Y226" s="8">
        <v>603.0</v>
      </c>
      <c r="Z226" s="8">
        <v>512.0</v>
      </c>
      <c r="AA226" s="8">
        <v>1.749</v>
      </c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 ht="15.75" customHeight="1">
      <c r="A227" s="6">
        <v>226.0</v>
      </c>
      <c r="B227" s="7">
        <v>49535.0</v>
      </c>
      <c r="C227" s="8">
        <v>23.2</v>
      </c>
      <c r="D227" s="8">
        <v>91.04</v>
      </c>
      <c r="E227" s="8">
        <v>86.85</v>
      </c>
      <c r="F227" s="8">
        <v>23.2</v>
      </c>
      <c r="G227" s="8">
        <v>91.04</v>
      </c>
      <c r="H227" s="8">
        <v>86.85</v>
      </c>
      <c r="I227" s="8">
        <v>76.0</v>
      </c>
      <c r="J227" s="8">
        <v>21.4</v>
      </c>
      <c r="K227" s="8">
        <v>78.4</v>
      </c>
      <c r="L227" s="9">
        <f t="shared" si="1"/>
        <v>122.4</v>
      </c>
      <c r="M227" s="9">
        <f t="shared" si="2"/>
        <v>49.43863936</v>
      </c>
      <c r="N227" s="9">
        <f t="shared" si="3"/>
        <v>78</v>
      </c>
      <c r="O227" s="9">
        <f t="shared" si="4"/>
        <v>70.4</v>
      </c>
      <c r="P227" s="9">
        <f t="shared" si="6"/>
        <v>82.4</v>
      </c>
      <c r="Q227" s="9">
        <f t="shared" ref="Q227:R227" si="225">average(L221:L227)</f>
        <v>83.68571429</v>
      </c>
      <c r="R227" s="9">
        <f t="shared" si="225"/>
        <v>51.53183586</v>
      </c>
      <c r="S227" s="11">
        <v>57.72</v>
      </c>
      <c r="T227" s="11">
        <v>52.5775</v>
      </c>
      <c r="U227" s="12">
        <v>3.1</v>
      </c>
      <c r="V227" s="12">
        <v>806.2</v>
      </c>
      <c r="W227" s="12">
        <v>18.0</v>
      </c>
      <c r="X227" s="8">
        <v>4920.0</v>
      </c>
      <c r="Y227" s="8">
        <v>759.0</v>
      </c>
      <c r="Z227" s="8">
        <v>177.0</v>
      </c>
      <c r="AA227" s="8">
        <v>1.934</v>
      </c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 ht="15.75" customHeight="1">
      <c r="A228" s="6">
        <v>227.0</v>
      </c>
      <c r="B228" s="7">
        <v>49536.0</v>
      </c>
      <c r="C228" s="8">
        <v>18.9</v>
      </c>
      <c r="D228" s="8">
        <v>91.84</v>
      </c>
      <c r="E228" s="8">
        <v>82.77</v>
      </c>
      <c r="F228" s="8">
        <v>18.9</v>
      </c>
      <c r="G228" s="8">
        <v>91.84</v>
      </c>
      <c r="H228" s="8">
        <v>82.77</v>
      </c>
      <c r="I228" s="8">
        <v>78.0</v>
      </c>
      <c r="J228" s="8">
        <v>21.4</v>
      </c>
      <c r="K228" s="8">
        <v>78.4</v>
      </c>
      <c r="L228" s="9">
        <f t="shared" si="1"/>
        <v>115.8</v>
      </c>
      <c r="M228" s="9">
        <f t="shared" si="2"/>
        <v>41.8205639</v>
      </c>
      <c r="N228" s="9">
        <f t="shared" si="3"/>
        <v>122.4</v>
      </c>
      <c r="O228" s="9">
        <f t="shared" si="4"/>
        <v>78</v>
      </c>
      <c r="P228" s="9">
        <f t="shared" si="6"/>
        <v>108.4</v>
      </c>
      <c r="Q228" s="9">
        <f t="shared" ref="Q228:R228" si="226">average(L222:L228)</f>
        <v>88.45714286</v>
      </c>
      <c r="R228" s="9">
        <f t="shared" si="226"/>
        <v>50.12431149</v>
      </c>
      <c r="S228" s="11">
        <v>53.39</v>
      </c>
      <c r="T228" s="11">
        <v>51.934999999999995</v>
      </c>
      <c r="U228" s="12">
        <v>3.41</v>
      </c>
      <c r="V228" s="12">
        <v>796.5</v>
      </c>
      <c r="W228" s="12">
        <v>19.0</v>
      </c>
      <c r="X228" s="8">
        <v>4344.0</v>
      </c>
      <c r="Y228" s="8">
        <v>959.0</v>
      </c>
      <c r="Z228" s="8">
        <v>226.0</v>
      </c>
      <c r="AA228" s="8">
        <v>1.754</v>
      </c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 ht="15.75" customHeight="1">
      <c r="A229" s="6">
        <v>228.0</v>
      </c>
      <c r="B229" s="7">
        <v>49537.0</v>
      </c>
      <c r="C229" s="8">
        <v>32.6</v>
      </c>
      <c r="D229" s="8">
        <v>88.17</v>
      </c>
      <c r="E229" s="8">
        <v>86.35</v>
      </c>
      <c r="F229" s="8">
        <v>32.6</v>
      </c>
      <c r="G229" s="8">
        <v>88.17</v>
      </c>
      <c r="H229" s="8">
        <v>86.35</v>
      </c>
      <c r="I229" s="8">
        <v>80.0</v>
      </c>
      <c r="J229" s="8">
        <v>21.4</v>
      </c>
      <c r="K229" s="8">
        <v>83.1</v>
      </c>
      <c r="L229" s="9">
        <f t="shared" si="1"/>
        <v>145.2</v>
      </c>
      <c r="M229" s="9">
        <f t="shared" si="2"/>
        <v>63.86660634</v>
      </c>
      <c r="N229" s="9">
        <f t="shared" si="3"/>
        <v>115.8</v>
      </c>
      <c r="O229" s="9">
        <f t="shared" si="4"/>
        <v>122.4</v>
      </c>
      <c r="P229" s="9">
        <f t="shared" si="6"/>
        <v>66.2</v>
      </c>
      <c r="Q229" s="9">
        <f t="shared" ref="Q229:R229" si="227">average(L223:L229)</f>
        <v>93.71428571</v>
      </c>
      <c r="R229" s="9">
        <f t="shared" si="227"/>
        <v>47.24883448</v>
      </c>
      <c r="S229" s="11">
        <v>53.63</v>
      </c>
      <c r="T229" s="11">
        <v>52.362500000000004</v>
      </c>
      <c r="U229" s="12">
        <v>3.6</v>
      </c>
      <c r="V229" s="12">
        <v>777.1</v>
      </c>
      <c r="W229" s="12">
        <v>17.0</v>
      </c>
      <c r="X229" s="8">
        <v>4284.0</v>
      </c>
      <c r="Y229" s="8">
        <v>823.0</v>
      </c>
      <c r="Z229" s="8">
        <v>459.0</v>
      </c>
      <c r="AA229" s="8">
        <v>1.763</v>
      </c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 ht="15.75" customHeight="1">
      <c r="A230" s="6">
        <v>229.0</v>
      </c>
      <c r="B230" s="7">
        <v>49538.0</v>
      </c>
      <c r="C230" s="8">
        <v>17.6</v>
      </c>
      <c r="D230" s="8">
        <v>91.32</v>
      </c>
      <c r="E230" s="8">
        <v>81.58</v>
      </c>
      <c r="F230" s="8">
        <v>17.6</v>
      </c>
      <c r="G230" s="8">
        <v>91.32</v>
      </c>
      <c r="H230" s="8">
        <v>81.58</v>
      </c>
      <c r="I230" s="8">
        <v>83.0</v>
      </c>
      <c r="J230" s="8">
        <v>24.7</v>
      </c>
      <c r="K230" s="8">
        <v>82.7</v>
      </c>
      <c r="L230" s="9">
        <f t="shared" si="1"/>
        <v>118.2</v>
      </c>
      <c r="M230" s="9">
        <f t="shared" si="2"/>
        <v>43.17792431</v>
      </c>
      <c r="N230" s="9">
        <f t="shared" si="3"/>
        <v>145.2</v>
      </c>
      <c r="O230" s="9">
        <f t="shared" si="4"/>
        <v>115.8</v>
      </c>
      <c r="P230" s="9">
        <f t="shared" si="6"/>
        <v>58</v>
      </c>
      <c r="Q230" s="9">
        <f t="shared" ref="Q230:R230" si="228">average(L224:L230)</f>
        <v>101.1428571</v>
      </c>
      <c r="R230" s="9">
        <f t="shared" si="228"/>
        <v>46.09106728</v>
      </c>
      <c r="S230" s="11">
        <v>53.64</v>
      </c>
      <c r="T230" s="11">
        <v>52.777499999999996</v>
      </c>
      <c r="U230" s="12">
        <v>3.06</v>
      </c>
      <c r="V230" s="12">
        <v>796.5</v>
      </c>
      <c r="W230" s="12">
        <v>18.0</v>
      </c>
      <c r="X230" s="8">
        <v>4539.0</v>
      </c>
      <c r="Y230" s="8">
        <v>905.0</v>
      </c>
      <c r="Z230" s="8">
        <v>221.0</v>
      </c>
      <c r="AA230" s="8">
        <v>1.841</v>
      </c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 ht="15.75" customHeight="1">
      <c r="A231" s="6">
        <v>230.0</v>
      </c>
      <c r="B231" s="7">
        <v>49539.0</v>
      </c>
      <c r="C231" s="8">
        <v>44.1</v>
      </c>
      <c r="D231" s="8">
        <v>88.08</v>
      </c>
      <c r="E231" s="8">
        <v>84.38</v>
      </c>
      <c r="F231" s="8">
        <v>44.1</v>
      </c>
      <c r="G231" s="8">
        <v>88.08</v>
      </c>
      <c r="H231" s="8">
        <v>84.38</v>
      </c>
      <c r="I231" s="8">
        <v>85.0</v>
      </c>
      <c r="J231" s="8">
        <v>20.2</v>
      </c>
      <c r="K231" s="8">
        <v>82.7</v>
      </c>
      <c r="L231" s="9">
        <f t="shared" si="1"/>
        <v>173.2</v>
      </c>
      <c r="M231" s="9">
        <f t="shared" si="2"/>
        <v>79.75150933</v>
      </c>
      <c r="N231" s="9">
        <f t="shared" si="3"/>
        <v>118.2</v>
      </c>
      <c r="O231" s="9">
        <f t="shared" si="4"/>
        <v>145.2</v>
      </c>
      <c r="P231" s="9">
        <f t="shared" si="6"/>
        <v>70.4</v>
      </c>
      <c r="Q231" s="9">
        <f t="shared" ref="Q231:R231" si="229">average(L225:L231)</f>
        <v>117.6</v>
      </c>
      <c r="R231" s="9">
        <f t="shared" si="229"/>
        <v>51.79442484</v>
      </c>
      <c r="S231" s="11">
        <v>52.14</v>
      </c>
      <c r="T231" s="11">
        <v>51.902499999999996</v>
      </c>
      <c r="U231" s="12">
        <v>3.52</v>
      </c>
      <c r="V231" s="12">
        <v>844.9</v>
      </c>
      <c r="W231" s="12">
        <v>15.0</v>
      </c>
      <c r="X231" s="8">
        <v>4524.0</v>
      </c>
      <c r="Y231" s="8">
        <v>922.0</v>
      </c>
      <c r="Z231" s="8">
        <v>123.0</v>
      </c>
      <c r="AA231" s="8">
        <v>1.865</v>
      </c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 ht="15.75" customHeight="1">
      <c r="A232" s="6">
        <v>231.0</v>
      </c>
      <c r="B232" s="7">
        <v>49540.0</v>
      </c>
      <c r="C232" s="8">
        <v>23.5</v>
      </c>
      <c r="D232" s="8">
        <v>88.59</v>
      </c>
      <c r="E232" s="8">
        <v>85.59</v>
      </c>
      <c r="F232" s="8">
        <v>23.5</v>
      </c>
      <c r="G232" s="8">
        <v>88.59</v>
      </c>
      <c r="H232" s="8">
        <v>85.59</v>
      </c>
      <c r="I232" s="8">
        <v>55.0</v>
      </c>
      <c r="J232" s="8">
        <v>22.1</v>
      </c>
      <c r="K232" s="8">
        <v>84.4</v>
      </c>
      <c r="L232" s="9">
        <f t="shared" si="1"/>
        <v>102</v>
      </c>
      <c r="M232" s="9">
        <f t="shared" si="2"/>
        <v>45.89618507</v>
      </c>
      <c r="N232" s="9">
        <f t="shared" si="3"/>
        <v>173.2</v>
      </c>
      <c r="O232" s="9">
        <f t="shared" si="4"/>
        <v>118.2</v>
      </c>
      <c r="P232" s="9">
        <f t="shared" si="6"/>
        <v>78</v>
      </c>
      <c r="Q232" s="9">
        <f t="shared" ref="Q232:R232" si="230">average(L226:L232)</f>
        <v>122.1142857</v>
      </c>
      <c r="R232" s="9">
        <f t="shared" si="230"/>
        <v>52.21200018</v>
      </c>
      <c r="S232" s="11">
        <v>48.1</v>
      </c>
      <c r="T232" s="11">
        <v>51.325</v>
      </c>
      <c r="U232" s="12">
        <v>2.05</v>
      </c>
      <c r="V232" s="12">
        <v>815.9</v>
      </c>
      <c r="W232" s="12">
        <v>18.0</v>
      </c>
      <c r="X232" s="8">
        <v>4783.0</v>
      </c>
      <c r="Y232" s="8">
        <v>725.0</v>
      </c>
      <c r="Z232" s="8">
        <v>358.0</v>
      </c>
      <c r="AA232" s="8">
        <v>2.143</v>
      </c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 ht="15.75" customHeight="1">
      <c r="A233" s="6">
        <v>232.0</v>
      </c>
      <c r="B233" s="7">
        <v>49541.0</v>
      </c>
      <c r="C233" s="8">
        <v>33.7</v>
      </c>
      <c r="D233" s="8">
        <v>90.96</v>
      </c>
      <c r="E233" s="8">
        <v>79.96</v>
      </c>
      <c r="F233" s="8">
        <v>33.7</v>
      </c>
      <c r="G233" s="8">
        <v>90.96</v>
      </c>
      <c r="H233" s="8">
        <v>79.96</v>
      </c>
      <c r="I233" s="8">
        <v>50.0</v>
      </c>
      <c r="J233" s="8">
        <v>22.9</v>
      </c>
      <c r="K233" s="8">
        <v>82.5</v>
      </c>
      <c r="L233" s="9">
        <f t="shared" si="1"/>
        <v>117.4</v>
      </c>
      <c r="M233" s="9">
        <f t="shared" si="2"/>
        <v>58.46735918</v>
      </c>
      <c r="N233" s="9">
        <f t="shared" si="3"/>
        <v>102</v>
      </c>
      <c r="O233" s="9">
        <f t="shared" si="4"/>
        <v>173.2</v>
      </c>
      <c r="P233" s="9">
        <f t="shared" si="6"/>
        <v>122.4</v>
      </c>
      <c r="Q233" s="9">
        <f t="shared" ref="Q233:R233" si="231">average(L227:L233)</f>
        <v>127.7428571</v>
      </c>
      <c r="R233" s="9">
        <f t="shared" si="231"/>
        <v>54.63125536</v>
      </c>
      <c r="S233" s="11">
        <v>46.56</v>
      </c>
      <c r="T233" s="11">
        <v>49.705</v>
      </c>
      <c r="U233" s="12">
        <v>2.27</v>
      </c>
      <c r="V233" s="12">
        <v>844.9</v>
      </c>
      <c r="W233" s="12">
        <v>19.0</v>
      </c>
      <c r="X233" s="8">
        <v>5105.0</v>
      </c>
      <c r="Y233" s="8">
        <v>748.0</v>
      </c>
      <c r="Z233" s="8">
        <v>254.0</v>
      </c>
      <c r="AA233" s="8">
        <v>2.131</v>
      </c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 ht="15.75" customHeight="1">
      <c r="A234" s="6">
        <v>233.0</v>
      </c>
      <c r="B234" s="7">
        <v>49542.0</v>
      </c>
      <c r="C234" s="8">
        <v>45.5</v>
      </c>
      <c r="D234" s="8">
        <v>90.99</v>
      </c>
      <c r="E234" s="8">
        <v>80.83</v>
      </c>
      <c r="F234" s="8">
        <v>45.5</v>
      </c>
      <c r="G234" s="8">
        <v>90.99</v>
      </c>
      <c r="H234" s="8">
        <v>80.83</v>
      </c>
      <c r="I234" s="8">
        <v>56.0</v>
      </c>
      <c r="J234" s="8">
        <v>27.5</v>
      </c>
      <c r="K234" s="8">
        <v>85.9</v>
      </c>
      <c r="L234" s="9">
        <f t="shared" si="1"/>
        <v>147</v>
      </c>
      <c r="M234" s="9">
        <f t="shared" si="2"/>
        <v>80.15656747</v>
      </c>
      <c r="N234" s="9">
        <f t="shared" si="3"/>
        <v>117.4</v>
      </c>
      <c r="O234" s="9">
        <f t="shared" si="4"/>
        <v>102</v>
      </c>
      <c r="P234" s="9">
        <f t="shared" si="6"/>
        <v>115.8</v>
      </c>
      <c r="Q234" s="9">
        <f t="shared" ref="Q234:R234" si="232">average(L228:L234)</f>
        <v>131.2571429</v>
      </c>
      <c r="R234" s="9">
        <f t="shared" si="232"/>
        <v>59.0195308</v>
      </c>
      <c r="S234" s="11">
        <v>44.0</v>
      </c>
      <c r="T234" s="11">
        <v>49.915</v>
      </c>
      <c r="U234" s="12">
        <v>2.67</v>
      </c>
      <c r="V234" s="12">
        <v>738.4</v>
      </c>
      <c r="W234" s="12">
        <v>19.0</v>
      </c>
      <c r="X234" s="8">
        <v>7133.0</v>
      </c>
      <c r="Y234" s="8">
        <v>764.0</v>
      </c>
      <c r="Z234" s="8">
        <v>369.0</v>
      </c>
      <c r="AA234" s="8">
        <v>3.223</v>
      </c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 ht="15.75" customHeight="1">
      <c r="A235" s="6">
        <v>234.0</v>
      </c>
      <c r="B235" s="7">
        <v>49543.0</v>
      </c>
      <c r="C235" s="8">
        <v>40.4</v>
      </c>
      <c r="D235" s="8">
        <v>88.78</v>
      </c>
      <c r="E235" s="8">
        <v>78.61</v>
      </c>
      <c r="F235" s="8">
        <v>40.4</v>
      </c>
      <c r="G235" s="8">
        <v>88.78</v>
      </c>
      <c r="H235" s="8">
        <v>78.61</v>
      </c>
      <c r="I235" s="8">
        <v>75.0</v>
      </c>
      <c r="J235" s="8">
        <v>24.0</v>
      </c>
      <c r="K235" s="8">
        <v>82.7</v>
      </c>
      <c r="L235" s="9">
        <f t="shared" si="1"/>
        <v>155.8</v>
      </c>
      <c r="M235" s="9">
        <f t="shared" si="2"/>
        <v>71.27628606</v>
      </c>
      <c r="N235" s="9">
        <f t="shared" si="3"/>
        <v>147</v>
      </c>
      <c r="O235" s="9">
        <f t="shared" si="4"/>
        <v>117.4</v>
      </c>
      <c r="P235" s="9">
        <f t="shared" si="6"/>
        <v>145.2</v>
      </c>
      <c r="Q235" s="9">
        <f t="shared" ref="Q235:R235" si="233">average(L229:L235)</f>
        <v>136.9714286</v>
      </c>
      <c r="R235" s="9">
        <f t="shared" si="233"/>
        <v>63.22749111</v>
      </c>
      <c r="S235" s="11">
        <v>42.7</v>
      </c>
      <c r="T235" s="11">
        <v>49.2275</v>
      </c>
      <c r="U235" s="12">
        <v>2.78</v>
      </c>
      <c r="V235" s="12">
        <v>777.1</v>
      </c>
      <c r="W235" s="12">
        <v>19.0</v>
      </c>
      <c r="X235" s="8">
        <v>8647.0</v>
      </c>
      <c r="Y235" s="8">
        <v>801.0</v>
      </c>
      <c r="Z235" s="8">
        <v>267.0</v>
      </c>
      <c r="AA235" s="8">
        <v>3.86</v>
      </c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 ht="15.75" customHeight="1">
      <c r="A236" s="6">
        <v>235.0</v>
      </c>
      <c r="B236" s="7">
        <v>49544.0</v>
      </c>
      <c r="C236" s="8">
        <v>46.5</v>
      </c>
      <c r="D236" s="8">
        <v>90.19</v>
      </c>
      <c r="E236" s="8">
        <v>79.96</v>
      </c>
      <c r="F236" s="8">
        <v>46.5</v>
      </c>
      <c r="G236" s="8">
        <v>90.19</v>
      </c>
      <c r="H236" s="8">
        <v>79.96</v>
      </c>
      <c r="I236" s="8">
        <v>85.0</v>
      </c>
      <c r="J236" s="8">
        <v>23.8</v>
      </c>
      <c r="K236" s="8">
        <v>82.5</v>
      </c>
      <c r="L236" s="9">
        <f t="shared" si="1"/>
        <v>178</v>
      </c>
      <c r="M236" s="9">
        <f t="shared" si="2"/>
        <v>83.75755932</v>
      </c>
      <c r="N236" s="9">
        <f t="shared" si="3"/>
        <v>155.8</v>
      </c>
      <c r="O236" s="9">
        <f t="shared" si="4"/>
        <v>147</v>
      </c>
      <c r="P236" s="9">
        <f t="shared" si="6"/>
        <v>118.2</v>
      </c>
      <c r="Q236" s="9">
        <f t="shared" ref="Q236:R236" si="234">average(L230:L236)</f>
        <v>141.6571429</v>
      </c>
      <c r="R236" s="9">
        <f t="shared" si="234"/>
        <v>66.06905582</v>
      </c>
      <c r="S236" s="11">
        <v>40.58</v>
      </c>
      <c r="T236" s="11">
        <v>48.629999999999995</v>
      </c>
      <c r="U236" s="12">
        <v>3.37</v>
      </c>
      <c r="V236" s="12">
        <v>806.2</v>
      </c>
      <c r="W236" s="12">
        <v>18.0</v>
      </c>
      <c r="X236" s="8">
        <v>9725.0</v>
      </c>
      <c r="Y236" s="8">
        <v>876.0</v>
      </c>
      <c r="Z236" s="8">
        <v>212.0</v>
      </c>
      <c r="AA236" s="8">
        <v>4.257</v>
      </c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 ht="15.75" customHeight="1">
      <c r="A237" s="6">
        <v>236.0</v>
      </c>
      <c r="B237" s="7">
        <v>49545.0</v>
      </c>
      <c r="C237" s="8">
        <v>41.1</v>
      </c>
      <c r="D237" s="8">
        <v>87.7</v>
      </c>
      <c r="E237" s="8">
        <v>83.68</v>
      </c>
      <c r="F237" s="8">
        <v>41.1</v>
      </c>
      <c r="G237" s="8">
        <v>87.7</v>
      </c>
      <c r="H237" s="8">
        <v>83.68</v>
      </c>
      <c r="I237" s="8">
        <v>50.0</v>
      </c>
      <c r="J237" s="8">
        <v>23.7</v>
      </c>
      <c r="K237" s="8">
        <v>82.5</v>
      </c>
      <c r="L237" s="9">
        <f t="shared" si="1"/>
        <v>132.2</v>
      </c>
      <c r="M237" s="9">
        <f t="shared" si="2"/>
        <v>70.10065992</v>
      </c>
      <c r="N237" s="9">
        <f t="shared" si="3"/>
        <v>178</v>
      </c>
      <c r="O237" s="9">
        <f t="shared" si="4"/>
        <v>155.8</v>
      </c>
      <c r="P237" s="9">
        <f t="shared" si="6"/>
        <v>173.2</v>
      </c>
      <c r="Q237" s="9">
        <f t="shared" ref="Q237:R237" si="235">average(L231:L237)</f>
        <v>143.6571429</v>
      </c>
      <c r="R237" s="9">
        <f t="shared" si="235"/>
        <v>69.91516091</v>
      </c>
      <c r="S237" s="11">
        <v>40.8</v>
      </c>
      <c r="T237" s="11">
        <v>48.1475</v>
      </c>
      <c r="U237" s="12">
        <v>3.43</v>
      </c>
      <c r="V237" s="12">
        <v>806.2</v>
      </c>
      <c r="W237" s="12">
        <v>16.0</v>
      </c>
      <c r="X237" s="8">
        <v>10094.0</v>
      </c>
      <c r="Y237" s="8">
        <v>857.0</v>
      </c>
      <c r="Z237" s="8">
        <v>421.0</v>
      </c>
      <c r="AA237" s="8">
        <v>4.376</v>
      </c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 ht="15.75" customHeight="1">
      <c r="A238" s="6">
        <v>237.0</v>
      </c>
      <c r="B238" s="7">
        <v>49546.0</v>
      </c>
      <c r="C238" s="8">
        <v>37.5</v>
      </c>
      <c r="D238" s="8">
        <v>90.96</v>
      </c>
      <c r="E238" s="8">
        <v>83.8</v>
      </c>
      <c r="F238" s="8">
        <v>37.5</v>
      </c>
      <c r="G238" s="8">
        <v>90.96</v>
      </c>
      <c r="H238" s="8">
        <v>83.8</v>
      </c>
      <c r="I238" s="8">
        <v>65.0</v>
      </c>
      <c r="J238" s="8">
        <v>24.5</v>
      </c>
      <c r="K238" s="8">
        <v>84.4</v>
      </c>
      <c r="L238" s="9">
        <f t="shared" si="1"/>
        <v>140</v>
      </c>
      <c r="M238" s="9">
        <f t="shared" si="2"/>
        <v>70.60906</v>
      </c>
      <c r="N238" s="9">
        <f t="shared" si="3"/>
        <v>132.2</v>
      </c>
      <c r="O238" s="9">
        <f t="shared" si="4"/>
        <v>178</v>
      </c>
      <c r="P238" s="9">
        <f t="shared" si="6"/>
        <v>102</v>
      </c>
      <c r="Q238" s="9">
        <f t="shared" ref="Q238:R238" si="236">average(L232:L238)</f>
        <v>138.9142857</v>
      </c>
      <c r="R238" s="9">
        <f t="shared" si="236"/>
        <v>68.60909672</v>
      </c>
      <c r="S238" s="11">
        <v>40.25</v>
      </c>
      <c r="T238" s="11">
        <v>48.065</v>
      </c>
      <c r="U238" s="12">
        <v>2.11</v>
      </c>
      <c r="V238" s="12">
        <v>777.1</v>
      </c>
      <c r="W238" s="12">
        <v>18.0</v>
      </c>
      <c r="X238" s="8">
        <v>10696.0</v>
      </c>
      <c r="Y238" s="8">
        <v>841.0</v>
      </c>
      <c r="Z238" s="8">
        <v>403.0</v>
      </c>
      <c r="AA238" s="8">
        <v>4.544</v>
      </c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 ht="15.75" customHeight="1">
      <c r="A239" s="6">
        <v>238.0</v>
      </c>
      <c r="B239" s="7">
        <v>49547.0</v>
      </c>
      <c r="C239" s="8">
        <v>40.0</v>
      </c>
      <c r="D239" s="8">
        <v>91.47</v>
      </c>
      <c r="E239" s="8">
        <v>83.69</v>
      </c>
      <c r="F239" s="8">
        <v>40.0</v>
      </c>
      <c r="G239" s="8">
        <v>91.47</v>
      </c>
      <c r="H239" s="8">
        <v>83.69</v>
      </c>
      <c r="I239" s="8">
        <v>40.0</v>
      </c>
      <c r="J239" s="8">
        <v>31.3</v>
      </c>
      <c r="K239" s="8">
        <v>86.8</v>
      </c>
      <c r="L239" s="9">
        <f t="shared" si="1"/>
        <v>120</v>
      </c>
      <c r="M239" s="9">
        <f t="shared" si="2"/>
        <v>72.1083544</v>
      </c>
      <c r="N239" s="9">
        <f t="shared" si="3"/>
        <v>140</v>
      </c>
      <c r="O239" s="9">
        <f t="shared" si="4"/>
        <v>132.2</v>
      </c>
      <c r="P239" s="9">
        <f t="shared" si="6"/>
        <v>117.4</v>
      </c>
      <c r="Q239" s="9">
        <f t="shared" ref="Q239:R239" si="237">average(L233:L239)</f>
        <v>141.4857143</v>
      </c>
      <c r="R239" s="9">
        <f t="shared" si="237"/>
        <v>72.35369234</v>
      </c>
      <c r="S239" s="11">
        <v>43.14</v>
      </c>
      <c r="T239" s="11">
        <v>47.4325</v>
      </c>
      <c r="U239" s="12">
        <v>2.78</v>
      </c>
      <c r="V239" s="12">
        <v>786.8</v>
      </c>
      <c r="W239" s="12">
        <v>17.0</v>
      </c>
      <c r="X239" s="8">
        <v>10016.0</v>
      </c>
      <c r="Y239" s="8">
        <v>821.0</v>
      </c>
      <c r="Z239" s="8">
        <v>475.0</v>
      </c>
      <c r="AA239" s="8">
        <v>4.362</v>
      </c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 ht="15.75" customHeight="1">
      <c r="A240" s="6">
        <v>239.0</v>
      </c>
      <c r="B240" s="7">
        <v>49548.0</v>
      </c>
      <c r="C240" s="8">
        <v>31.5</v>
      </c>
      <c r="D240" s="8">
        <v>90.4</v>
      </c>
      <c r="E240" s="8">
        <v>84.0</v>
      </c>
      <c r="F240" s="8">
        <v>31.5</v>
      </c>
      <c r="G240" s="8">
        <v>90.4</v>
      </c>
      <c r="H240" s="8">
        <v>84.0</v>
      </c>
      <c r="I240" s="8">
        <v>59.0</v>
      </c>
      <c r="J240" s="8">
        <v>25.6</v>
      </c>
      <c r="K240" s="8">
        <v>82.6</v>
      </c>
      <c r="L240" s="9">
        <f t="shared" si="1"/>
        <v>122</v>
      </c>
      <c r="M240" s="9">
        <f t="shared" si="2"/>
        <v>60.315584</v>
      </c>
      <c r="N240" s="9">
        <f t="shared" si="3"/>
        <v>120</v>
      </c>
      <c r="O240" s="9">
        <f t="shared" si="4"/>
        <v>140</v>
      </c>
      <c r="P240" s="9">
        <f t="shared" si="6"/>
        <v>147</v>
      </c>
      <c r="Q240" s="9">
        <f t="shared" ref="Q240:R240" si="238">average(L234:L240)</f>
        <v>142.1428571</v>
      </c>
      <c r="R240" s="9">
        <f t="shared" si="238"/>
        <v>72.61772445</v>
      </c>
      <c r="S240" s="11">
        <v>42.9</v>
      </c>
      <c r="T240" s="11">
        <v>47.02</v>
      </c>
      <c r="U240" s="12">
        <v>2.83</v>
      </c>
      <c r="V240" s="12">
        <v>806.2</v>
      </c>
      <c r="W240" s="12">
        <v>18.0</v>
      </c>
      <c r="X240" s="8">
        <v>10275.0</v>
      </c>
      <c r="Y240" s="8">
        <v>850.0</v>
      </c>
      <c r="Z240" s="8">
        <v>549.0</v>
      </c>
      <c r="AA240" s="8">
        <v>4.454</v>
      </c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 ht="15.75" customHeight="1">
      <c r="A241" s="6">
        <v>240.0</v>
      </c>
      <c r="B241" s="7">
        <v>49549.0</v>
      </c>
      <c r="C241" s="8">
        <v>47.9</v>
      </c>
      <c r="D241" s="8">
        <v>87.77</v>
      </c>
      <c r="E241" s="8">
        <v>82.89</v>
      </c>
      <c r="F241" s="8">
        <v>47.9</v>
      </c>
      <c r="G241" s="8">
        <v>87.77</v>
      </c>
      <c r="H241" s="8">
        <v>82.89</v>
      </c>
      <c r="I241" s="8">
        <v>15.0</v>
      </c>
      <c r="J241" s="8">
        <v>22.1</v>
      </c>
      <c r="K241" s="8">
        <v>85.8</v>
      </c>
      <c r="L241" s="9">
        <f t="shared" si="1"/>
        <v>110.8</v>
      </c>
      <c r="M241" s="9">
        <f t="shared" si="2"/>
        <v>72.54121577</v>
      </c>
      <c r="N241" s="9">
        <f t="shared" si="3"/>
        <v>122</v>
      </c>
      <c r="O241" s="9">
        <f t="shared" si="4"/>
        <v>120</v>
      </c>
      <c r="P241" s="9">
        <f t="shared" si="6"/>
        <v>155.8</v>
      </c>
      <c r="Q241" s="9">
        <f t="shared" ref="Q241:R241" si="239">average(L235:L241)</f>
        <v>136.9714286</v>
      </c>
      <c r="R241" s="9">
        <f t="shared" si="239"/>
        <v>71.52981707</v>
      </c>
      <c r="S241" s="11">
        <v>41.87</v>
      </c>
      <c r="T241" s="11">
        <v>47.212500000000006</v>
      </c>
      <c r="U241" s="12">
        <v>3.44</v>
      </c>
      <c r="V241" s="12">
        <v>786.8</v>
      </c>
      <c r="W241" s="12">
        <v>15.0</v>
      </c>
      <c r="X241" s="8">
        <v>9416.0</v>
      </c>
      <c r="Y241" s="8">
        <v>851.0</v>
      </c>
      <c r="Z241" s="8">
        <v>664.0</v>
      </c>
      <c r="AA241" s="8">
        <v>4.315</v>
      </c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 ht="15.75" customHeight="1">
      <c r="A242" s="6">
        <v>241.0</v>
      </c>
      <c r="B242" s="7">
        <v>49550.0</v>
      </c>
      <c r="C242" s="8">
        <v>48.0</v>
      </c>
      <c r="D242" s="8">
        <v>90.84</v>
      </c>
      <c r="E242" s="8">
        <v>76.41</v>
      </c>
      <c r="F242" s="8">
        <v>48.0</v>
      </c>
      <c r="G242" s="8">
        <v>90.84</v>
      </c>
      <c r="H242" s="8">
        <v>76.41</v>
      </c>
      <c r="I242" s="8">
        <v>0.0</v>
      </c>
      <c r="J242" s="8">
        <v>21.5</v>
      </c>
      <c r="K242" s="8">
        <v>82.5</v>
      </c>
      <c r="L242" s="9">
        <f t="shared" si="1"/>
        <v>96</v>
      </c>
      <c r="M242" s="9">
        <f t="shared" si="2"/>
        <v>66.63441024</v>
      </c>
      <c r="N242" s="9">
        <f t="shared" si="3"/>
        <v>110.8</v>
      </c>
      <c r="O242" s="9">
        <f t="shared" si="4"/>
        <v>122</v>
      </c>
      <c r="P242" s="9">
        <f t="shared" si="6"/>
        <v>178</v>
      </c>
      <c r="Q242" s="9">
        <f t="shared" ref="Q242:R242" si="240">average(L236:L242)</f>
        <v>128.4285714</v>
      </c>
      <c r="R242" s="9">
        <f t="shared" si="240"/>
        <v>70.86669195</v>
      </c>
      <c r="S242" s="11">
        <v>51.32</v>
      </c>
      <c r="T242" s="11">
        <v>48.192499999999995</v>
      </c>
      <c r="U242" s="12">
        <v>2.5</v>
      </c>
      <c r="V242" s="12">
        <v>815.9</v>
      </c>
      <c r="W242" s="12">
        <v>16.0</v>
      </c>
      <c r="X242" s="8">
        <v>9634.0</v>
      </c>
      <c r="Y242" s="8">
        <v>780.0</v>
      </c>
      <c r="Z242" s="8">
        <v>639.0</v>
      </c>
      <c r="AA242" s="8">
        <v>4.163</v>
      </c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 ht="15.75" customHeight="1">
      <c r="A243" s="6">
        <v>242.0</v>
      </c>
      <c r="B243" s="7">
        <v>49551.0</v>
      </c>
      <c r="C243" s="8">
        <v>53.4</v>
      </c>
      <c r="D243" s="8">
        <v>90.24</v>
      </c>
      <c r="E243" s="8">
        <v>80.75</v>
      </c>
      <c r="F243" s="8">
        <v>53.4</v>
      </c>
      <c r="G243" s="8">
        <v>90.24</v>
      </c>
      <c r="H243" s="8">
        <v>80.75</v>
      </c>
      <c r="I243" s="8">
        <v>0.0</v>
      </c>
      <c r="J243" s="8">
        <v>24.2</v>
      </c>
      <c r="K243" s="8">
        <v>83.3</v>
      </c>
      <c r="L243" s="9">
        <f t="shared" si="1"/>
        <v>106.8</v>
      </c>
      <c r="M243" s="9">
        <f t="shared" si="2"/>
        <v>77.8238784</v>
      </c>
      <c r="N243" s="9">
        <f t="shared" si="3"/>
        <v>96</v>
      </c>
      <c r="O243" s="9">
        <f t="shared" si="4"/>
        <v>110.8</v>
      </c>
      <c r="P243" s="9">
        <f t="shared" si="6"/>
        <v>132.2</v>
      </c>
      <c r="Q243" s="9">
        <f t="shared" ref="Q243:R243" si="241">average(L237:L243)</f>
        <v>118.2571429</v>
      </c>
      <c r="R243" s="9">
        <f t="shared" si="241"/>
        <v>70.01902325</v>
      </c>
      <c r="S243" s="11">
        <v>52.04</v>
      </c>
      <c r="T243" s="11">
        <v>48.120000000000005</v>
      </c>
      <c r="U243" s="12">
        <v>2.79</v>
      </c>
      <c r="V243" s="12">
        <v>757.8</v>
      </c>
      <c r="W243" s="12">
        <v>16.0</v>
      </c>
      <c r="X243" s="8">
        <v>9470.0</v>
      </c>
      <c r="Y243" s="8">
        <v>850.0</v>
      </c>
      <c r="Z243" s="8">
        <v>627.0</v>
      </c>
      <c r="AA243" s="8">
        <v>4.126</v>
      </c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 ht="15.75" customHeight="1">
      <c r="A244" s="6">
        <v>243.0</v>
      </c>
      <c r="B244" s="7">
        <v>49552.0</v>
      </c>
      <c r="C244" s="8">
        <v>49.4</v>
      </c>
      <c r="D244" s="8">
        <v>91.32</v>
      </c>
      <c r="E244" s="8">
        <v>82.59</v>
      </c>
      <c r="F244" s="8">
        <v>49.4</v>
      </c>
      <c r="G244" s="8">
        <v>91.32</v>
      </c>
      <c r="H244" s="8">
        <v>82.59</v>
      </c>
      <c r="I244" s="8">
        <v>0.0</v>
      </c>
      <c r="J244" s="8">
        <v>22.0</v>
      </c>
      <c r="K244" s="8">
        <v>81.3</v>
      </c>
      <c r="L244" s="9">
        <f t="shared" si="1"/>
        <v>98.8</v>
      </c>
      <c r="M244" s="9">
        <f t="shared" si="2"/>
        <v>74.51613374</v>
      </c>
      <c r="N244" s="9">
        <f t="shared" si="3"/>
        <v>106.8</v>
      </c>
      <c r="O244" s="9">
        <f t="shared" si="4"/>
        <v>96</v>
      </c>
      <c r="P244" s="9">
        <f t="shared" si="6"/>
        <v>140</v>
      </c>
      <c r="Q244" s="9">
        <f t="shared" ref="Q244:R244" si="242">average(L238:L244)</f>
        <v>113.4857143</v>
      </c>
      <c r="R244" s="9">
        <f t="shared" si="242"/>
        <v>70.64980522</v>
      </c>
      <c r="S244" s="11">
        <v>54.47</v>
      </c>
      <c r="T244" s="11">
        <v>49.040000000000006</v>
      </c>
      <c r="U244" s="12">
        <v>2.87</v>
      </c>
      <c r="V244" s="12">
        <v>777.1</v>
      </c>
      <c r="W244" s="12">
        <v>16.0</v>
      </c>
      <c r="X244" s="8">
        <v>9548.0</v>
      </c>
      <c r="Y244" s="8">
        <v>880.0</v>
      </c>
      <c r="Z244" s="8">
        <v>788.0</v>
      </c>
      <c r="AA244" s="8">
        <v>4.121</v>
      </c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 ht="15.75" customHeight="1">
      <c r="A245" s="6">
        <v>244.0</v>
      </c>
      <c r="B245" s="7">
        <v>49553.0</v>
      </c>
      <c r="C245" s="8">
        <v>51.6</v>
      </c>
      <c r="D245" s="8">
        <v>91.03</v>
      </c>
      <c r="E245" s="8">
        <v>83.3</v>
      </c>
      <c r="F245" s="8">
        <v>51.6</v>
      </c>
      <c r="G245" s="8">
        <v>91.03</v>
      </c>
      <c r="H245" s="8">
        <v>83.3</v>
      </c>
      <c r="I245" s="8">
        <v>0.0</v>
      </c>
      <c r="J245" s="8">
        <v>22.6</v>
      </c>
      <c r="K245" s="8">
        <v>81.9</v>
      </c>
      <c r="L245" s="9">
        <f t="shared" si="1"/>
        <v>103.2</v>
      </c>
      <c r="M245" s="9">
        <f t="shared" si="2"/>
        <v>78.25448568</v>
      </c>
      <c r="N245" s="9">
        <f t="shared" si="3"/>
        <v>98.8</v>
      </c>
      <c r="O245" s="9">
        <f t="shared" si="4"/>
        <v>106.8</v>
      </c>
      <c r="P245" s="9">
        <f t="shared" si="6"/>
        <v>120</v>
      </c>
      <c r="Q245" s="9">
        <f t="shared" ref="Q245:R245" si="243">average(L239:L245)</f>
        <v>108.2285714</v>
      </c>
      <c r="R245" s="9">
        <f t="shared" si="243"/>
        <v>71.74200889</v>
      </c>
      <c r="S245" s="11">
        <v>54.65</v>
      </c>
      <c r="T245" s="11">
        <v>49.04750000000001</v>
      </c>
      <c r="U245" s="12">
        <v>2.89</v>
      </c>
      <c r="V245" s="12">
        <v>767.5</v>
      </c>
      <c r="W245" s="12">
        <v>16.0</v>
      </c>
      <c r="X245" s="8">
        <v>9457.0</v>
      </c>
      <c r="Y245" s="8">
        <v>876.0</v>
      </c>
      <c r="Z245" s="8">
        <v>701.0</v>
      </c>
      <c r="AA245" s="8">
        <v>4.202</v>
      </c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 ht="15.75" customHeight="1">
      <c r="A246" s="6">
        <v>245.0</v>
      </c>
      <c r="B246" s="7">
        <v>49554.0</v>
      </c>
      <c r="C246" s="8">
        <v>34.7</v>
      </c>
      <c r="D246" s="8">
        <v>91.18</v>
      </c>
      <c r="E246" s="8">
        <v>84.58</v>
      </c>
      <c r="F246" s="8">
        <v>34.7</v>
      </c>
      <c r="G246" s="8">
        <v>91.18</v>
      </c>
      <c r="H246" s="8">
        <v>84.58</v>
      </c>
      <c r="I246" s="8">
        <v>0.0</v>
      </c>
      <c r="J246" s="8">
        <v>24.2</v>
      </c>
      <c r="K246" s="8">
        <v>85.5</v>
      </c>
      <c r="L246" s="9">
        <f t="shared" si="1"/>
        <v>69.4</v>
      </c>
      <c r="M246" s="9">
        <f t="shared" si="2"/>
        <v>53.52131054</v>
      </c>
      <c r="N246" s="9">
        <f t="shared" si="3"/>
        <v>103.2</v>
      </c>
      <c r="O246" s="9">
        <f t="shared" si="4"/>
        <v>98.8</v>
      </c>
      <c r="P246" s="9">
        <f t="shared" si="6"/>
        <v>122</v>
      </c>
      <c r="Q246" s="9">
        <f t="shared" ref="Q246:R246" si="244">average(L240:L246)</f>
        <v>101</v>
      </c>
      <c r="R246" s="9">
        <f t="shared" si="244"/>
        <v>69.08671691</v>
      </c>
      <c r="S246" s="11">
        <v>55.87</v>
      </c>
      <c r="T246" s="11">
        <v>49.339999999999996</v>
      </c>
      <c r="U246" s="12">
        <v>3.82</v>
      </c>
      <c r="V246" s="12">
        <v>777.1</v>
      </c>
      <c r="W246" s="12">
        <v>17.0</v>
      </c>
      <c r="X246" s="8">
        <v>9193.0</v>
      </c>
      <c r="Y246" s="8">
        <v>804.0</v>
      </c>
      <c r="Z246" s="8">
        <v>622.0</v>
      </c>
      <c r="AA246" s="8">
        <v>4.15</v>
      </c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 ht="15.75" customHeight="1">
      <c r="A247" s="6">
        <v>246.0</v>
      </c>
      <c r="B247" s="7">
        <v>49555.0</v>
      </c>
      <c r="C247" s="8">
        <v>26.5</v>
      </c>
      <c r="D247" s="8">
        <v>91.61</v>
      </c>
      <c r="E247" s="8">
        <v>80.29</v>
      </c>
      <c r="F247" s="8">
        <v>26.5</v>
      </c>
      <c r="G247" s="8">
        <v>91.61</v>
      </c>
      <c r="H247" s="8">
        <v>80.29</v>
      </c>
      <c r="I247" s="8">
        <v>0.0</v>
      </c>
      <c r="J247" s="8">
        <v>24.8</v>
      </c>
      <c r="K247" s="8">
        <v>76.9</v>
      </c>
      <c r="L247" s="9">
        <f t="shared" si="1"/>
        <v>53</v>
      </c>
      <c r="M247" s="9">
        <f t="shared" si="2"/>
        <v>38.98344457</v>
      </c>
      <c r="N247" s="9">
        <f t="shared" si="3"/>
        <v>69.4</v>
      </c>
      <c r="O247" s="9">
        <f t="shared" si="4"/>
        <v>103.2</v>
      </c>
      <c r="P247" s="9">
        <f t="shared" si="6"/>
        <v>110.8</v>
      </c>
      <c r="Q247" s="9">
        <f t="shared" ref="Q247:R247" si="245">average(L241:L247)</f>
        <v>91.14285714</v>
      </c>
      <c r="R247" s="9">
        <f t="shared" si="245"/>
        <v>66.03926842</v>
      </c>
      <c r="S247" s="11">
        <v>56.93</v>
      </c>
      <c r="T247" s="11">
        <v>50.4075</v>
      </c>
      <c r="U247" s="12">
        <v>3.04</v>
      </c>
      <c r="V247" s="12">
        <v>709.4</v>
      </c>
      <c r="W247" s="12">
        <v>18.0</v>
      </c>
      <c r="X247" s="8">
        <v>8667.0</v>
      </c>
      <c r="Y247" s="8">
        <v>792.0</v>
      </c>
      <c r="Z247" s="8">
        <v>627.0</v>
      </c>
      <c r="AA247" s="8">
        <v>3.943</v>
      </c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 ht="15.75" customHeight="1">
      <c r="A248" s="6">
        <v>247.0</v>
      </c>
      <c r="B248" s="7">
        <v>49556.0</v>
      </c>
      <c r="C248" s="8">
        <v>30.6</v>
      </c>
      <c r="D248" s="8">
        <v>91.26</v>
      </c>
      <c r="E248" s="8">
        <v>76.21</v>
      </c>
      <c r="F248" s="8">
        <v>30.6</v>
      </c>
      <c r="G248" s="8">
        <v>91.26</v>
      </c>
      <c r="H248" s="8">
        <v>76.21</v>
      </c>
      <c r="I248" s="8">
        <v>0.0</v>
      </c>
      <c r="J248" s="8">
        <v>24.8</v>
      </c>
      <c r="K248" s="8">
        <v>76.9</v>
      </c>
      <c r="L248" s="9">
        <f t="shared" si="1"/>
        <v>61.2</v>
      </c>
      <c r="M248" s="9">
        <f t="shared" si="2"/>
        <v>42.56413855</v>
      </c>
      <c r="N248" s="9">
        <f t="shared" si="3"/>
        <v>53</v>
      </c>
      <c r="O248" s="9">
        <f t="shared" si="4"/>
        <v>69.4</v>
      </c>
      <c r="P248" s="9">
        <f t="shared" si="6"/>
        <v>96</v>
      </c>
      <c r="Q248" s="9">
        <f t="shared" ref="Q248:R248" si="246">average(L242:L248)</f>
        <v>84.05714286</v>
      </c>
      <c r="R248" s="9">
        <f t="shared" si="246"/>
        <v>61.75682882</v>
      </c>
      <c r="S248" s="11">
        <v>57.3</v>
      </c>
      <c r="T248" s="11">
        <v>50.559999999999995</v>
      </c>
      <c r="U248" s="12">
        <v>2.39</v>
      </c>
      <c r="V248" s="12">
        <v>777.1</v>
      </c>
      <c r="W248" s="12">
        <v>20.0</v>
      </c>
      <c r="X248" s="8">
        <v>7596.0</v>
      </c>
      <c r="Y248" s="8">
        <v>720.0</v>
      </c>
      <c r="Z248" s="8">
        <v>492.0</v>
      </c>
      <c r="AA248" s="8">
        <v>3.481</v>
      </c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 ht="15.75" customHeight="1">
      <c r="A249" s="6">
        <v>248.0</v>
      </c>
      <c r="B249" s="7">
        <v>49557.0</v>
      </c>
      <c r="C249" s="8">
        <v>47.2</v>
      </c>
      <c r="D249" s="8">
        <v>90.2</v>
      </c>
      <c r="E249" s="8">
        <v>84.58</v>
      </c>
      <c r="F249" s="8">
        <v>47.2</v>
      </c>
      <c r="G249" s="8">
        <v>90.2</v>
      </c>
      <c r="H249" s="8">
        <v>84.58</v>
      </c>
      <c r="I249" s="8">
        <v>0.0</v>
      </c>
      <c r="J249" s="8">
        <v>24.8</v>
      </c>
      <c r="K249" s="8">
        <v>76.9</v>
      </c>
      <c r="L249" s="9">
        <f t="shared" si="1"/>
        <v>94.4</v>
      </c>
      <c r="M249" s="9">
        <f t="shared" si="2"/>
        <v>72.01885504</v>
      </c>
      <c r="N249" s="9">
        <f t="shared" si="3"/>
        <v>61.2</v>
      </c>
      <c r="O249" s="9">
        <f t="shared" si="4"/>
        <v>53</v>
      </c>
      <c r="P249" s="9">
        <f t="shared" si="6"/>
        <v>106.8</v>
      </c>
      <c r="Q249" s="9">
        <f t="shared" ref="Q249:R249" si="247">average(L243:L249)</f>
        <v>83.82857143</v>
      </c>
      <c r="R249" s="9">
        <f t="shared" si="247"/>
        <v>62.52603522</v>
      </c>
      <c r="S249" s="11">
        <v>55.47</v>
      </c>
      <c r="T249" s="11">
        <v>50.33</v>
      </c>
      <c r="U249" s="12">
        <v>3.32</v>
      </c>
      <c r="V249" s="12">
        <v>777.1</v>
      </c>
      <c r="W249" s="12">
        <v>17.0</v>
      </c>
      <c r="X249" s="8">
        <v>7768.0</v>
      </c>
      <c r="Y249" s="8">
        <v>800.0</v>
      </c>
      <c r="Z249" s="8">
        <v>550.0</v>
      </c>
      <c r="AA249" s="8">
        <v>3.788</v>
      </c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 ht="15.75" customHeight="1">
      <c r="A250" s="6">
        <v>249.0</v>
      </c>
      <c r="B250" s="7">
        <v>49558.0</v>
      </c>
      <c r="C250" s="8">
        <v>46.9</v>
      </c>
      <c r="D250" s="8">
        <v>91.63</v>
      </c>
      <c r="E250" s="8">
        <v>81.52</v>
      </c>
      <c r="F250" s="8">
        <v>46.9</v>
      </c>
      <c r="G250" s="8">
        <v>91.63</v>
      </c>
      <c r="H250" s="8">
        <v>81.52</v>
      </c>
      <c r="I250" s="8">
        <v>0.0</v>
      </c>
      <c r="J250" s="8">
        <v>24.8</v>
      </c>
      <c r="K250" s="8">
        <v>76.9</v>
      </c>
      <c r="L250" s="9">
        <f t="shared" si="1"/>
        <v>93.8</v>
      </c>
      <c r="M250" s="9">
        <f t="shared" si="2"/>
        <v>70.06557589</v>
      </c>
      <c r="N250" s="9">
        <f t="shared" si="3"/>
        <v>94.4</v>
      </c>
      <c r="O250" s="9">
        <f t="shared" si="4"/>
        <v>61.2</v>
      </c>
      <c r="P250" s="9">
        <f t="shared" si="6"/>
        <v>98.8</v>
      </c>
      <c r="Q250" s="9">
        <f t="shared" ref="Q250:R250" si="248">average(L244:L250)</f>
        <v>81.97142857</v>
      </c>
      <c r="R250" s="9">
        <f t="shared" si="248"/>
        <v>61.41770629</v>
      </c>
      <c r="S250" s="11">
        <v>56.09</v>
      </c>
      <c r="T250" s="11">
        <v>50.6425</v>
      </c>
      <c r="U250" s="12">
        <v>2.71</v>
      </c>
      <c r="V250" s="12">
        <v>932.1</v>
      </c>
      <c r="W250" s="12">
        <v>18.0</v>
      </c>
      <c r="X250" s="8">
        <v>6976.0</v>
      </c>
      <c r="Y250" s="8">
        <v>795.0</v>
      </c>
      <c r="Z250" s="8">
        <v>582.0</v>
      </c>
      <c r="AA250" s="8">
        <v>3.447</v>
      </c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 ht="15.75" customHeight="1">
      <c r="A251" s="6">
        <v>250.0</v>
      </c>
      <c r="B251" s="7">
        <v>49559.0</v>
      </c>
      <c r="C251" s="8">
        <v>48.6</v>
      </c>
      <c r="D251" s="8">
        <v>91.8</v>
      </c>
      <c r="E251" s="8">
        <v>85.84</v>
      </c>
      <c r="F251" s="8">
        <v>48.6</v>
      </c>
      <c r="G251" s="8">
        <v>91.8</v>
      </c>
      <c r="H251" s="8">
        <v>85.84</v>
      </c>
      <c r="I251" s="8">
        <v>0.0</v>
      </c>
      <c r="J251" s="8">
        <v>24.8</v>
      </c>
      <c r="K251" s="8">
        <v>76.9</v>
      </c>
      <c r="L251" s="9">
        <f t="shared" si="1"/>
        <v>97.2</v>
      </c>
      <c r="M251" s="9">
        <f t="shared" si="2"/>
        <v>76.59468864</v>
      </c>
      <c r="N251" s="9">
        <f t="shared" si="3"/>
        <v>93.8</v>
      </c>
      <c r="O251" s="9">
        <f t="shared" si="4"/>
        <v>94.4</v>
      </c>
      <c r="P251" s="9">
        <f t="shared" si="6"/>
        <v>103.2</v>
      </c>
      <c r="Q251" s="9">
        <f t="shared" ref="Q251:R251" si="249">average(L245:L251)</f>
        <v>81.74285714</v>
      </c>
      <c r="R251" s="9">
        <f t="shared" si="249"/>
        <v>61.7146427</v>
      </c>
      <c r="S251" s="11">
        <v>51.38</v>
      </c>
      <c r="T251" s="11">
        <v>50.0825</v>
      </c>
      <c r="U251" s="12">
        <v>2.75</v>
      </c>
      <c r="V251" s="12">
        <v>777.1</v>
      </c>
      <c r="W251" s="12">
        <v>17.0</v>
      </c>
      <c r="X251" s="8">
        <v>7371.0</v>
      </c>
      <c r="Y251" s="8">
        <v>810.0</v>
      </c>
      <c r="Z251" s="8">
        <v>713.0</v>
      </c>
      <c r="AA251" s="8">
        <v>3.672</v>
      </c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 ht="15.75" customHeight="1">
      <c r="A252" s="6">
        <v>251.0</v>
      </c>
      <c r="B252" s="7">
        <v>49560.0</v>
      </c>
      <c r="C252" s="8">
        <v>50.3</v>
      </c>
      <c r="D252" s="8">
        <v>89.15</v>
      </c>
      <c r="E252" s="8">
        <v>82.38</v>
      </c>
      <c r="F252" s="8">
        <v>50.3</v>
      </c>
      <c r="G252" s="8">
        <v>89.15</v>
      </c>
      <c r="H252" s="8">
        <v>82.38</v>
      </c>
      <c r="I252" s="8">
        <v>0.0</v>
      </c>
      <c r="J252" s="8">
        <v>24.8</v>
      </c>
      <c r="K252" s="8">
        <v>76.9</v>
      </c>
      <c r="L252" s="9">
        <f t="shared" si="1"/>
        <v>100.6</v>
      </c>
      <c r="M252" s="9">
        <f t="shared" si="2"/>
        <v>73.88242062</v>
      </c>
      <c r="N252" s="9">
        <f t="shared" si="3"/>
        <v>97.2</v>
      </c>
      <c r="O252" s="9">
        <f t="shared" si="4"/>
        <v>93.8</v>
      </c>
      <c r="P252" s="9">
        <f t="shared" si="6"/>
        <v>69.4</v>
      </c>
      <c r="Q252" s="9">
        <f t="shared" ref="Q252:R252" si="250">average(L246:L252)</f>
        <v>81.37142857</v>
      </c>
      <c r="R252" s="9">
        <f t="shared" si="250"/>
        <v>61.09006198</v>
      </c>
      <c r="S252" s="11">
        <v>50.21</v>
      </c>
      <c r="T252" s="11">
        <v>49.745000000000005</v>
      </c>
      <c r="U252" s="12">
        <v>3.64</v>
      </c>
      <c r="V252" s="12">
        <v>767.5</v>
      </c>
      <c r="W252" s="12">
        <v>16.0</v>
      </c>
      <c r="X252" s="8">
        <v>8068.0</v>
      </c>
      <c r="Y252" s="8">
        <v>873.0</v>
      </c>
      <c r="Z252" s="8">
        <v>606.0</v>
      </c>
      <c r="AA252" s="8">
        <v>3.822</v>
      </c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 ht="15.75" customHeight="1">
      <c r="A253" s="6">
        <v>252.0</v>
      </c>
      <c r="B253" s="7">
        <v>49561.0</v>
      </c>
      <c r="C253" s="8">
        <v>46.8</v>
      </c>
      <c r="D253" s="8">
        <v>90.01</v>
      </c>
      <c r="E253" s="8">
        <v>83.6</v>
      </c>
      <c r="F253" s="8">
        <v>46.8</v>
      </c>
      <c r="G253" s="8">
        <v>90.01</v>
      </c>
      <c r="H253" s="8">
        <v>83.6</v>
      </c>
      <c r="I253" s="8">
        <v>0.0</v>
      </c>
      <c r="J253" s="8">
        <v>24.8</v>
      </c>
      <c r="K253" s="8">
        <v>76.9</v>
      </c>
      <c r="L253" s="9">
        <f t="shared" si="1"/>
        <v>93.6</v>
      </c>
      <c r="M253" s="9">
        <f t="shared" si="2"/>
        <v>70.43246496</v>
      </c>
      <c r="N253" s="9">
        <f t="shared" si="3"/>
        <v>100.6</v>
      </c>
      <c r="O253" s="9">
        <f t="shared" si="4"/>
        <v>97.2</v>
      </c>
      <c r="P253" s="9">
        <f t="shared" si="6"/>
        <v>53</v>
      </c>
      <c r="Q253" s="9">
        <f t="shared" ref="Q253:R253" si="251">average(L247:L253)</f>
        <v>84.82857143</v>
      </c>
      <c r="R253" s="9">
        <f t="shared" si="251"/>
        <v>63.50594118</v>
      </c>
      <c r="S253" s="11">
        <v>50.4</v>
      </c>
      <c r="T253" s="11">
        <v>49.9475</v>
      </c>
      <c r="U253" s="12">
        <v>2.94</v>
      </c>
      <c r="V253" s="12">
        <v>757.8</v>
      </c>
      <c r="W253" s="12">
        <v>17.0</v>
      </c>
      <c r="X253" s="8">
        <v>8081.0</v>
      </c>
      <c r="Y253" s="8">
        <v>860.0</v>
      </c>
      <c r="Z253" s="8">
        <v>668.0</v>
      </c>
      <c r="AA253" s="8">
        <v>3.948</v>
      </c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 ht="15.75" customHeight="1">
      <c r="A254" s="6">
        <v>253.0</v>
      </c>
      <c r="B254" s="7">
        <v>49562.0</v>
      </c>
      <c r="C254" s="8">
        <v>51.4</v>
      </c>
      <c r="D254" s="8">
        <v>89.47</v>
      </c>
      <c r="E254" s="8">
        <v>81.31</v>
      </c>
      <c r="F254" s="8">
        <v>51.4</v>
      </c>
      <c r="G254" s="8">
        <v>89.47</v>
      </c>
      <c r="H254" s="8">
        <v>81.31</v>
      </c>
      <c r="I254" s="8">
        <v>0.0</v>
      </c>
      <c r="J254" s="8">
        <v>24.8</v>
      </c>
      <c r="K254" s="8">
        <v>76.9</v>
      </c>
      <c r="L254" s="9">
        <f t="shared" si="1"/>
        <v>102.8</v>
      </c>
      <c r="M254" s="9">
        <f t="shared" si="2"/>
        <v>74.7850026</v>
      </c>
      <c r="N254" s="9">
        <f t="shared" si="3"/>
        <v>93.6</v>
      </c>
      <c r="O254" s="9">
        <f t="shared" si="4"/>
        <v>100.6</v>
      </c>
      <c r="P254" s="9">
        <f t="shared" si="6"/>
        <v>61.2</v>
      </c>
      <c r="Q254" s="9">
        <f t="shared" ref="Q254:R254" si="252">average(L248:L254)</f>
        <v>91.94285714</v>
      </c>
      <c r="R254" s="9">
        <f t="shared" si="252"/>
        <v>68.62044947</v>
      </c>
      <c r="S254" s="11">
        <v>50.29</v>
      </c>
      <c r="T254" s="11">
        <v>49.1525</v>
      </c>
      <c r="U254" s="12">
        <v>3.27</v>
      </c>
      <c r="V254" s="12">
        <v>883.7</v>
      </c>
      <c r="W254" s="12">
        <v>17.0</v>
      </c>
      <c r="X254" s="8">
        <v>8185.0</v>
      </c>
      <c r="Y254" s="8">
        <v>905.0</v>
      </c>
      <c r="Z254" s="8">
        <v>759.0</v>
      </c>
      <c r="AA254" s="8">
        <v>4.034</v>
      </c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 ht="15.75" customHeight="1">
      <c r="A255" s="6">
        <v>254.0</v>
      </c>
      <c r="B255" s="7">
        <v>49563.0</v>
      </c>
      <c r="C255" s="8">
        <v>36.6</v>
      </c>
      <c r="D255" s="8">
        <v>89.9</v>
      </c>
      <c r="E255" s="8">
        <v>80.05</v>
      </c>
      <c r="F255" s="8">
        <v>36.6</v>
      </c>
      <c r="G255" s="8">
        <v>89.9</v>
      </c>
      <c r="H255" s="8">
        <v>80.05</v>
      </c>
      <c r="I255" s="8">
        <v>0.0</v>
      </c>
      <c r="J255" s="8">
        <v>24.8</v>
      </c>
      <c r="K255" s="8">
        <v>76.9</v>
      </c>
      <c r="L255" s="9">
        <f t="shared" si="1"/>
        <v>73.2</v>
      </c>
      <c r="M255" s="9">
        <f t="shared" si="2"/>
        <v>52.6783434</v>
      </c>
      <c r="N255" s="9">
        <f t="shared" si="3"/>
        <v>102.8</v>
      </c>
      <c r="O255" s="9">
        <f t="shared" si="4"/>
        <v>93.6</v>
      </c>
      <c r="P255" s="9">
        <f t="shared" si="6"/>
        <v>94.4</v>
      </c>
      <c r="Q255" s="9">
        <f t="shared" ref="Q255:R255" si="253">average(L249:L255)</f>
        <v>93.65714286</v>
      </c>
      <c r="R255" s="9">
        <f t="shared" si="253"/>
        <v>70.06533588</v>
      </c>
      <c r="S255" s="11">
        <v>48.21</v>
      </c>
      <c r="T255" s="11">
        <v>48.80500000000001</v>
      </c>
      <c r="U255" s="12">
        <v>3.37</v>
      </c>
      <c r="V255" s="12">
        <v>922.4</v>
      </c>
      <c r="W255" s="12">
        <v>17.0</v>
      </c>
      <c r="X255" s="8">
        <v>8856.0</v>
      </c>
      <c r="Y255" s="8">
        <v>870.0</v>
      </c>
      <c r="Z255" s="8">
        <v>759.0</v>
      </c>
      <c r="AA255" s="8">
        <v>4.131</v>
      </c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 ht="15.75" customHeight="1">
      <c r="A256" s="6">
        <v>255.0</v>
      </c>
      <c r="B256" s="7">
        <v>49564.0</v>
      </c>
      <c r="C256" s="8">
        <v>39.4</v>
      </c>
      <c r="D256" s="8">
        <v>90.47</v>
      </c>
      <c r="E256" s="8">
        <v>79.87</v>
      </c>
      <c r="F256" s="8">
        <v>39.4</v>
      </c>
      <c r="G256" s="8">
        <v>90.47</v>
      </c>
      <c r="H256" s="8">
        <v>79.87</v>
      </c>
      <c r="I256" s="8">
        <v>0.0</v>
      </c>
      <c r="J256" s="8">
        <v>24.8</v>
      </c>
      <c r="K256" s="8">
        <v>76.9</v>
      </c>
      <c r="L256" s="9">
        <f t="shared" si="1"/>
        <v>78.8</v>
      </c>
      <c r="M256" s="9">
        <f t="shared" si="2"/>
        <v>56.93961053</v>
      </c>
      <c r="N256" s="9">
        <f t="shared" si="3"/>
        <v>73.2</v>
      </c>
      <c r="O256" s="9">
        <f t="shared" si="4"/>
        <v>102.8</v>
      </c>
      <c r="P256" s="9">
        <f t="shared" si="6"/>
        <v>93.8</v>
      </c>
      <c r="Q256" s="9">
        <f t="shared" ref="Q256:R256" si="254">average(L250:L256)</f>
        <v>91.42857143</v>
      </c>
      <c r="R256" s="9">
        <f t="shared" si="254"/>
        <v>67.91115809</v>
      </c>
      <c r="S256" s="11">
        <v>50.76</v>
      </c>
      <c r="T256" s="11">
        <v>48.9725</v>
      </c>
      <c r="U256" s="12">
        <v>3.16</v>
      </c>
      <c r="V256" s="12">
        <v>748.1</v>
      </c>
      <c r="W256" s="12">
        <v>18.0</v>
      </c>
      <c r="X256" s="8">
        <v>11166.0</v>
      </c>
      <c r="Y256" s="8">
        <v>830.0</v>
      </c>
      <c r="Z256" s="8">
        <v>651.0</v>
      </c>
      <c r="AA256" s="8">
        <v>4.701</v>
      </c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 ht="15.75" customHeight="1">
      <c r="A257" s="6">
        <v>256.0</v>
      </c>
      <c r="B257" s="7">
        <v>49565.0</v>
      </c>
      <c r="C257" s="8">
        <v>47.3</v>
      </c>
      <c r="D257" s="8">
        <v>90.18</v>
      </c>
      <c r="E257" s="8">
        <v>81.31</v>
      </c>
      <c r="F257" s="8">
        <v>47.3</v>
      </c>
      <c r="G257" s="8">
        <v>90.18</v>
      </c>
      <c r="H257" s="8">
        <v>81.31</v>
      </c>
      <c r="I257" s="8">
        <v>0.0</v>
      </c>
      <c r="J257" s="8">
        <v>24.8</v>
      </c>
      <c r="K257" s="8">
        <v>76.9</v>
      </c>
      <c r="L257" s="9">
        <f t="shared" si="1"/>
        <v>94.6</v>
      </c>
      <c r="M257" s="9">
        <f t="shared" si="2"/>
        <v>69.36578867</v>
      </c>
      <c r="N257" s="9">
        <f t="shared" si="3"/>
        <v>78.8</v>
      </c>
      <c r="O257" s="9">
        <f t="shared" si="4"/>
        <v>73.2</v>
      </c>
      <c r="P257" s="9">
        <f t="shared" si="6"/>
        <v>97.2</v>
      </c>
      <c r="Q257" s="9">
        <f t="shared" ref="Q257:R257" si="255">average(L251:L257)</f>
        <v>91.54285714</v>
      </c>
      <c r="R257" s="9">
        <f t="shared" si="255"/>
        <v>67.81118849</v>
      </c>
      <c r="S257" s="11">
        <v>54.12</v>
      </c>
      <c r="T257" s="11">
        <v>50.19</v>
      </c>
      <c r="U257" s="12">
        <v>2.53</v>
      </c>
      <c r="V257" s="12">
        <v>912.7</v>
      </c>
      <c r="W257" s="12">
        <v>18.0</v>
      </c>
      <c r="X257" s="8">
        <v>11361.0</v>
      </c>
      <c r="Y257" s="8">
        <v>840.0</v>
      </c>
      <c r="Z257" s="8">
        <v>706.0</v>
      </c>
      <c r="AA257" s="8">
        <v>4.748</v>
      </c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 ht="15.75" customHeight="1">
      <c r="A258" s="6">
        <v>257.0</v>
      </c>
      <c r="B258" s="7">
        <v>49566.0</v>
      </c>
      <c r="C258" s="8">
        <v>56.1</v>
      </c>
      <c r="D258" s="8">
        <v>91.26</v>
      </c>
      <c r="E258" s="8">
        <v>83.47</v>
      </c>
      <c r="F258" s="8">
        <v>56.1</v>
      </c>
      <c r="G258" s="8">
        <v>91.26</v>
      </c>
      <c r="H258" s="8">
        <v>83.47</v>
      </c>
      <c r="I258" s="8">
        <v>0.0</v>
      </c>
      <c r="J258" s="8">
        <v>24.8</v>
      </c>
      <c r="K258" s="8">
        <v>76.9</v>
      </c>
      <c r="L258" s="9">
        <f t="shared" si="1"/>
        <v>112.2</v>
      </c>
      <c r="M258" s="9">
        <f t="shared" si="2"/>
        <v>85.46803808</v>
      </c>
      <c r="N258" s="9">
        <f t="shared" si="3"/>
        <v>94.6</v>
      </c>
      <c r="O258" s="9">
        <f t="shared" si="4"/>
        <v>78.8</v>
      </c>
      <c r="P258" s="9">
        <f t="shared" si="6"/>
        <v>100.6</v>
      </c>
      <c r="Q258" s="9">
        <f t="shared" ref="Q258:R258" si="256">average(L252:L258)</f>
        <v>93.68571429</v>
      </c>
      <c r="R258" s="9">
        <f t="shared" si="256"/>
        <v>69.07880984</v>
      </c>
      <c r="S258" s="11">
        <v>55.66</v>
      </c>
      <c r="T258" s="11">
        <v>50.862500000000004</v>
      </c>
      <c r="U258" s="12">
        <v>3.14</v>
      </c>
      <c r="V258" s="12">
        <v>1087.0</v>
      </c>
      <c r="W258" s="12">
        <v>16.0</v>
      </c>
      <c r="X258" s="8">
        <v>11814.0</v>
      </c>
      <c r="Y258" s="8">
        <v>930.0</v>
      </c>
      <c r="Z258" s="8">
        <v>788.0</v>
      </c>
      <c r="AA258" s="8">
        <v>5.058</v>
      </c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 ht="15.75" customHeight="1">
      <c r="A259" s="6">
        <v>258.0</v>
      </c>
      <c r="B259" s="7">
        <v>49567.0</v>
      </c>
      <c r="C259" s="8">
        <v>51.4</v>
      </c>
      <c r="D259" s="8">
        <v>90.96</v>
      </c>
      <c r="E259" s="8">
        <v>78.48</v>
      </c>
      <c r="F259" s="8">
        <v>51.4</v>
      </c>
      <c r="G259" s="8">
        <v>90.96</v>
      </c>
      <c r="H259" s="8">
        <v>78.48</v>
      </c>
      <c r="I259" s="8">
        <v>0.0</v>
      </c>
      <c r="J259" s="8">
        <v>24.8</v>
      </c>
      <c r="K259" s="8">
        <v>76.9</v>
      </c>
      <c r="L259" s="9">
        <f t="shared" si="1"/>
        <v>102.8</v>
      </c>
      <c r="M259" s="9">
        <f t="shared" si="2"/>
        <v>73.38419942</v>
      </c>
      <c r="N259" s="9">
        <f t="shared" si="3"/>
        <v>112.2</v>
      </c>
      <c r="O259" s="9">
        <f t="shared" si="4"/>
        <v>94.6</v>
      </c>
      <c r="P259" s="9">
        <f t="shared" si="6"/>
        <v>93.6</v>
      </c>
      <c r="Q259" s="9">
        <f t="shared" ref="Q259:R259" si="257">average(L253:L259)</f>
        <v>94</v>
      </c>
      <c r="R259" s="9">
        <f t="shared" si="257"/>
        <v>69.00763538</v>
      </c>
      <c r="S259" s="11">
        <v>56.18</v>
      </c>
      <c r="T259" s="11">
        <v>51.2175</v>
      </c>
      <c r="U259" s="12">
        <v>4.18</v>
      </c>
      <c r="V259" s="12">
        <v>921.0</v>
      </c>
      <c r="W259" s="12">
        <v>16.0</v>
      </c>
      <c r="X259" s="8">
        <v>12294.0</v>
      </c>
      <c r="Y259" s="8">
        <v>927.0</v>
      </c>
      <c r="Z259" s="8">
        <v>708.0</v>
      </c>
      <c r="AA259" s="8">
        <v>5.278</v>
      </c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 ht="15.75" customHeight="1">
      <c r="A260" s="6">
        <v>259.0</v>
      </c>
      <c r="B260" s="7">
        <v>49568.0</v>
      </c>
      <c r="C260" s="8">
        <v>49.1</v>
      </c>
      <c r="D260" s="8">
        <v>89.83</v>
      </c>
      <c r="E260" s="8">
        <v>86.53</v>
      </c>
      <c r="F260" s="8">
        <v>49.1</v>
      </c>
      <c r="G260" s="8">
        <v>89.83</v>
      </c>
      <c r="H260" s="8">
        <v>86.53</v>
      </c>
      <c r="I260" s="8">
        <v>0.0</v>
      </c>
      <c r="J260" s="8">
        <v>24.8</v>
      </c>
      <c r="K260" s="8">
        <v>76.9</v>
      </c>
      <c r="L260" s="9">
        <f t="shared" si="1"/>
        <v>98.2</v>
      </c>
      <c r="M260" s="9">
        <f t="shared" si="2"/>
        <v>76.33076082</v>
      </c>
      <c r="N260" s="9">
        <f t="shared" si="3"/>
        <v>102.8</v>
      </c>
      <c r="O260" s="9">
        <f t="shared" si="4"/>
        <v>112.2</v>
      </c>
      <c r="P260" s="9">
        <f t="shared" si="6"/>
        <v>102.8</v>
      </c>
      <c r="Q260" s="9">
        <f t="shared" ref="Q260:R260" si="258">average(L254:L260)</f>
        <v>94.65714286</v>
      </c>
      <c r="R260" s="9">
        <f t="shared" si="258"/>
        <v>69.85024907</v>
      </c>
      <c r="S260" s="11">
        <v>57.42</v>
      </c>
      <c r="T260" s="11">
        <v>51.144999999999996</v>
      </c>
      <c r="U260" s="12">
        <v>3.95</v>
      </c>
      <c r="V260" s="12">
        <v>865.7</v>
      </c>
      <c r="W260" s="12">
        <v>17.0</v>
      </c>
      <c r="X260" s="8">
        <v>12713.0</v>
      </c>
      <c r="Y260" s="8">
        <v>910.0</v>
      </c>
      <c r="Z260" s="8">
        <v>723.0</v>
      </c>
      <c r="AA260" s="8">
        <v>5.406</v>
      </c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 ht="15.75" customHeight="1">
      <c r="A261" s="6">
        <v>260.0</v>
      </c>
      <c r="B261" s="7">
        <v>49569.0</v>
      </c>
      <c r="C261" s="8">
        <v>51.6</v>
      </c>
      <c r="D261" s="8">
        <v>88.8</v>
      </c>
      <c r="E261" s="8">
        <v>77.31</v>
      </c>
      <c r="F261" s="8">
        <v>51.6</v>
      </c>
      <c r="G261" s="8">
        <v>88.8</v>
      </c>
      <c r="H261" s="8">
        <v>77.31</v>
      </c>
      <c r="I261" s="8">
        <v>0.0</v>
      </c>
      <c r="J261" s="8">
        <v>24.8</v>
      </c>
      <c r="K261" s="8">
        <v>76.9</v>
      </c>
      <c r="L261" s="9">
        <f t="shared" si="1"/>
        <v>103.2</v>
      </c>
      <c r="M261" s="9">
        <f t="shared" si="2"/>
        <v>70.84812096</v>
      </c>
      <c r="N261" s="9">
        <f t="shared" si="3"/>
        <v>98.2</v>
      </c>
      <c r="O261" s="9">
        <f t="shared" si="4"/>
        <v>102.8</v>
      </c>
      <c r="P261" s="9">
        <f t="shared" si="6"/>
        <v>73.2</v>
      </c>
      <c r="Q261" s="9">
        <f t="shared" ref="Q261:R261" si="259">average(L255:L261)</f>
        <v>94.71428571</v>
      </c>
      <c r="R261" s="9">
        <f t="shared" si="259"/>
        <v>69.28783741</v>
      </c>
      <c r="S261" s="11">
        <v>57.63</v>
      </c>
      <c r="T261" s="11">
        <v>52.195</v>
      </c>
      <c r="U261" s="12">
        <v>3.73</v>
      </c>
      <c r="V261" s="12">
        <v>1142.3</v>
      </c>
      <c r="W261" s="12">
        <v>16.0</v>
      </c>
      <c r="X261" s="8">
        <v>12554.0</v>
      </c>
      <c r="Y261" s="8">
        <v>925.0</v>
      </c>
      <c r="Z261" s="8">
        <v>797.0</v>
      </c>
      <c r="AA261" s="8">
        <v>5.156</v>
      </c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 ht="15.75" customHeight="1">
      <c r="A262" s="6">
        <v>261.0</v>
      </c>
      <c r="B262" s="7">
        <v>49570.0</v>
      </c>
      <c r="C262" s="8">
        <v>46.0</v>
      </c>
      <c r="D262" s="8">
        <v>90.89</v>
      </c>
      <c r="E262" s="8">
        <v>83.46</v>
      </c>
      <c r="F262" s="8">
        <v>46.0</v>
      </c>
      <c r="G262" s="8">
        <v>90.89</v>
      </c>
      <c r="H262" s="8">
        <v>83.46</v>
      </c>
      <c r="I262" s="8">
        <v>0.0</v>
      </c>
      <c r="J262" s="8">
        <v>24.8</v>
      </c>
      <c r="K262" s="8">
        <v>76.9</v>
      </c>
      <c r="L262" s="9">
        <f t="shared" si="1"/>
        <v>92</v>
      </c>
      <c r="M262" s="9">
        <f t="shared" si="2"/>
        <v>69.78825048</v>
      </c>
      <c r="N262" s="9">
        <f t="shared" si="3"/>
        <v>103.2</v>
      </c>
      <c r="O262" s="9">
        <f t="shared" si="4"/>
        <v>98.2</v>
      </c>
      <c r="P262" s="9">
        <f t="shared" si="6"/>
        <v>78.8</v>
      </c>
      <c r="Q262" s="9">
        <f t="shared" ref="Q262:R262" si="260">average(L256:L262)</f>
        <v>97.4</v>
      </c>
      <c r="R262" s="9">
        <f t="shared" si="260"/>
        <v>71.73210985</v>
      </c>
      <c r="S262" s="11">
        <v>58.2</v>
      </c>
      <c r="T262" s="11">
        <v>52.625</v>
      </c>
      <c r="U262" s="12">
        <v>3.44</v>
      </c>
      <c r="V262" s="12">
        <v>1114.7</v>
      </c>
      <c r="W262" s="12">
        <v>20.0</v>
      </c>
      <c r="X262" s="8">
        <v>12904.0</v>
      </c>
      <c r="Y262" s="8">
        <v>850.0</v>
      </c>
      <c r="Z262" s="8">
        <v>750.0</v>
      </c>
      <c r="AA262" s="8">
        <v>5.391</v>
      </c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 ht="15.75" customHeight="1">
      <c r="A263" s="6">
        <v>262.0</v>
      </c>
      <c r="B263" s="7">
        <v>49571.0</v>
      </c>
      <c r="C263" s="8">
        <v>50.9</v>
      </c>
      <c r="D263" s="8">
        <v>91.44</v>
      </c>
      <c r="E263" s="8">
        <v>76.31</v>
      </c>
      <c r="F263" s="8">
        <v>50.9</v>
      </c>
      <c r="G263" s="8">
        <v>91.44</v>
      </c>
      <c r="H263" s="8">
        <v>76.31</v>
      </c>
      <c r="I263" s="8">
        <v>0.0</v>
      </c>
      <c r="J263" s="8">
        <v>24.8</v>
      </c>
      <c r="K263" s="8">
        <v>76.9</v>
      </c>
      <c r="L263" s="9">
        <f t="shared" si="1"/>
        <v>101.8</v>
      </c>
      <c r="M263" s="9">
        <f t="shared" si="2"/>
        <v>71.03386555</v>
      </c>
      <c r="N263" s="9">
        <f t="shared" si="3"/>
        <v>92</v>
      </c>
      <c r="O263" s="9">
        <f t="shared" si="4"/>
        <v>103.2</v>
      </c>
      <c r="P263" s="9">
        <f t="shared" si="6"/>
        <v>94.6</v>
      </c>
      <c r="Q263" s="9">
        <f t="shared" ref="Q263:R263" si="261">average(L257:L263)</f>
        <v>100.6857143</v>
      </c>
      <c r="R263" s="9">
        <f t="shared" si="261"/>
        <v>73.74557486</v>
      </c>
      <c r="S263" s="11">
        <v>60.29</v>
      </c>
      <c r="T263" s="11">
        <v>53.56750000000001</v>
      </c>
      <c r="U263" s="12">
        <v>3.62</v>
      </c>
      <c r="V263" s="12">
        <v>1031.7</v>
      </c>
      <c r="W263" s="12">
        <v>19.0</v>
      </c>
      <c r="X263" s="8">
        <v>12117.0</v>
      </c>
      <c r="Y263" s="8">
        <v>890.0</v>
      </c>
      <c r="Z263" s="8">
        <v>724.0</v>
      </c>
      <c r="AA263" s="8">
        <v>5.168</v>
      </c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 ht="15.75" customHeight="1">
      <c r="A264" s="6">
        <v>263.0</v>
      </c>
      <c r="B264" s="7">
        <v>49572.0</v>
      </c>
      <c r="C264" s="8">
        <v>45.3</v>
      </c>
      <c r="D264" s="8">
        <v>90.49</v>
      </c>
      <c r="E264" s="8">
        <v>81.12</v>
      </c>
      <c r="F264" s="8">
        <v>45.3</v>
      </c>
      <c r="G264" s="8">
        <v>90.49</v>
      </c>
      <c r="H264" s="8">
        <v>81.12</v>
      </c>
      <c r="I264" s="8">
        <v>0.0</v>
      </c>
      <c r="J264" s="8">
        <v>24.8</v>
      </c>
      <c r="K264" s="8">
        <v>76.9</v>
      </c>
      <c r="L264" s="9">
        <f t="shared" si="1"/>
        <v>90.6</v>
      </c>
      <c r="M264" s="9">
        <f t="shared" si="2"/>
        <v>66.50537213</v>
      </c>
      <c r="N264" s="9">
        <f t="shared" si="3"/>
        <v>101.8</v>
      </c>
      <c r="O264" s="9">
        <f t="shared" si="4"/>
        <v>92</v>
      </c>
      <c r="P264" s="9">
        <f t="shared" si="6"/>
        <v>112.2</v>
      </c>
      <c r="Q264" s="9">
        <f t="shared" ref="Q264:R264" si="262">average(L258:L264)</f>
        <v>100.1142857</v>
      </c>
      <c r="R264" s="9">
        <f t="shared" si="262"/>
        <v>73.33694392</v>
      </c>
      <c r="S264" s="11">
        <v>59.94</v>
      </c>
      <c r="T264" s="11">
        <v>53.855</v>
      </c>
      <c r="U264" s="12">
        <v>3.84</v>
      </c>
      <c r="V264" s="12">
        <v>1197.7</v>
      </c>
      <c r="W264" s="12">
        <v>20.0</v>
      </c>
      <c r="X264" s="8">
        <v>12829.0</v>
      </c>
      <c r="Y264" s="8">
        <v>826.0</v>
      </c>
      <c r="Z264" s="8">
        <v>825.0</v>
      </c>
      <c r="AA264" s="8">
        <v>5.509</v>
      </c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 ht="15.75" customHeight="1">
      <c r="A265" s="6">
        <v>264.0</v>
      </c>
      <c r="B265" s="7">
        <v>49573.0</v>
      </c>
      <c r="C265" s="8">
        <v>48.0</v>
      </c>
      <c r="D265" s="8">
        <v>92.44</v>
      </c>
      <c r="E265" s="8">
        <v>84.26</v>
      </c>
      <c r="F265" s="8">
        <v>48.0</v>
      </c>
      <c r="G265" s="8">
        <v>92.44</v>
      </c>
      <c r="H265" s="8">
        <v>84.26</v>
      </c>
      <c r="I265" s="8">
        <v>0.0</v>
      </c>
      <c r="J265" s="8">
        <v>24.8</v>
      </c>
      <c r="K265" s="8">
        <v>76.9</v>
      </c>
      <c r="L265" s="9">
        <f t="shared" si="1"/>
        <v>96</v>
      </c>
      <c r="M265" s="9">
        <f t="shared" si="2"/>
        <v>74.77434624</v>
      </c>
      <c r="N265" s="9">
        <f t="shared" si="3"/>
        <v>90.6</v>
      </c>
      <c r="O265" s="9">
        <f t="shared" si="4"/>
        <v>101.8</v>
      </c>
      <c r="P265" s="9">
        <f t="shared" si="6"/>
        <v>102.8</v>
      </c>
      <c r="Q265" s="9">
        <f t="shared" ref="Q265:R265" si="263">average(L259:L265)</f>
        <v>97.8</v>
      </c>
      <c r="R265" s="9">
        <f t="shared" si="263"/>
        <v>71.80927366</v>
      </c>
      <c r="S265" s="11">
        <v>60.24</v>
      </c>
      <c r="T265" s="11">
        <v>53.745</v>
      </c>
      <c r="U265" s="12">
        <v>4.02</v>
      </c>
      <c r="V265" s="12">
        <v>1059.3</v>
      </c>
      <c r="W265" s="12">
        <v>20.0</v>
      </c>
      <c r="X265" s="8">
        <v>12549.0</v>
      </c>
      <c r="Y265" s="8">
        <v>830.0</v>
      </c>
      <c r="Z265" s="8">
        <v>646.0</v>
      </c>
      <c r="AA265" s="8">
        <v>5.15</v>
      </c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 ht="15.75" customHeight="1">
      <c r="A266" s="6">
        <v>265.0</v>
      </c>
      <c r="B266" s="7">
        <v>49574.0</v>
      </c>
      <c r="C266" s="8">
        <v>39.7</v>
      </c>
      <c r="D266" s="8">
        <v>92.12</v>
      </c>
      <c r="E266" s="8">
        <v>84.2</v>
      </c>
      <c r="F266" s="8">
        <v>39.7</v>
      </c>
      <c r="G266" s="8">
        <v>92.12</v>
      </c>
      <c r="H266" s="8">
        <v>84.2</v>
      </c>
      <c r="I266" s="8">
        <v>0.0</v>
      </c>
      <c r="J266" s="8">
        <v>24.8</v>
      </c>
      <c r="K266" s="8">
        <v>76.9</v>
      </c>
      <c r="L266" s="9">
        <f t="shared" si="1"/>
        <v>79.4</v>
      </c>
      <c r="M266" s="9">
        <f t="shared" si="2"/>
        <v>61.58664176</v>
      </c>
      <c r="N266" s="9">
        <f t="shared" si="3"/>
        <v>96</v>
      </c>
      <c r="O266" s="9">
        <f t="shared" si="4"/>
        <v>90.6</v>
      </c>
      <c r="P266" s="9">
        <f t="shared" si="6"/>
        <v>98.2</v>
      </c>
      <c r="Q266" s="9">
        <f t="shared" ref="Q266:R266" si="264">average(L260:L266)</f>
        <v>94.45714286</v>
      </c>
      <c r="R266" s="9">
        <f t="shared" si="264"/>
        <v>70.12390828</v>
      </c>
      <c r="S266" s="11">
        <v>59.57</v>
      </c>
      <c r="T266" s="11">
        <v>54.660000000000004</v>
      </c>
      <c r="U266" s="12">
        <v>3.7</v>
      </c>
      <c r="V266" s="12">
        <v>1225.3</v>
      </c>
      <c r="W266" s="12">
        <v>20.0</v>
      </c>
      <c r="X266" s="8">
        <v>12399.0</v>
      </c>
      <c r="Y266" s="8">
        <v>840.0</v>
      </c>
      <c r="Z266" s="8">
        <v>793.0</v>
      </c>
      <c r="AA266" s="8">
        <v>5.216</v>
      </c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 ht="15.75" customHeight="1">
      <c r="A267" s="6">
        <v>266.0</v>
      </c>
      <c r="B267" s="7">
        <v>49575.0</v>
      </c>
      <c r="C267" s="8">
        <v>51.9</v>
      </c>
      <c r="D267" s="8">
        <v>87.37</v>
      </c>
      <c r="E267" s="8">
        <v>78.47</v>
      </c>
      <c r="F267" s="8">
        <v>51.9</v>
      </c>
      <c r="G267" s="8">
        <v>87.37</v>
      </c>
      <c r="H267" s="8">
        <v>78.47</v>
      </c>
      <c r="I267" s="8">
        <v>0.0</v>
      </c>
      <c r="J267" s="8">
        <v>24.8</v>
      </c>
      <c r="K267" s="8">
        <v>76.9</v>
      </c>
      <c r="L267" s="9">
        <f t="shared" si="1"/>
        <v>103.8</v>
      </c>
      <c r="M267" s="9">
        <f t="shared" si="2"/>
        <v>71.16449008</v>
      </c>
      <c r="N267" s="9">
        <f t="shared" si="3"/>
        <v>79.4</v>
      </c>
      <c r="O267" s="9">
        <f t="shared" si="4"/>
        <v>96</v>
      </c>
      <c r="P267" s="9">
        <f t="shared" si="6"/>
        <v>103.2</v>
      </c>
      <c r="Q267" s="9">
        <f t="shared" ref="Q267:R267" si="265">average(L261:L267)</f>
        <v>95.25714286</v>
      </c>
      <c r="R267" s="9">
        <f t="shared" si="265"/>
        <v>69.3858696</v>
      </c>
      <c r="S267" s="11">
        <v>60.12</v>
      </c>
      <c r="T267" s="11">
        <v>54.535000000000004</v>
      </c>
      <c r="U267" s="12">
        <v>3.03</v>
      </c>
      <c r="V267" s="12">
        <v>1253.0</v>
      </c>
      <c r="W267" s="12">
        <v>20.0</v>
      </c>
      <c r="X267" s="8">
        <v>14286.0</v>
      </c>
      <c r="Y267" s="8">
        <v>855.0</v>
      </c>
      <c r="Z267" s="8">
        <v>694.0</v>
      </c>
      <c r="AA267" s="8">
        <v>6.102</v>
      </c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 ht="15.75" customHeight="1">
      <c r="A268" s="6">
        <v>267.0</v>
      </c>
      <c r="B268" s="7">
        <v>49576.0</v>
      </c>
      <c r="C268" s="8">
        <v>64.7</v>
      </c>
      <c r="D268" s="8">
        <v>88.37</v>
      </c>
      <c r="E268" s="8">
        <v>83.54</v>
      </c>
      <c r="F268" s="8">
        <v>64.7</v>
      </c>
      <c r="G268" s="8">
        <v>88.37</v>
      </c>
      <c r="H268" s="8">
        <v>83.54</v>
      </c>
      <c r="I268" s="8">
        <v>0.0</v>
      </c>
      <c r="J268" s="8">
        <v>24.8</v>
      </c>
      <c r="K268" s="8">
        <v>76.9</v>
      </c>
      <c r="L268" s="9">
        <f t="shared" si="1"/>
        <v>129.4</v>
      </c>
      <c r="M268" s="9">
        <f t="shared" si="2"/>
        <v>95.52864161</v>
      </c>
      <c r="N268" s="9">
        <f t="shared" si="3"/>
        <v>103.8</v>
      </c>
      <c r="O268" s="9">
        <f t="shared" si="4"/>
        <v>79.4</v>
      </c>
      <c r="P268" s="9">
        <f t="shared" si="6"/>
        <v>92</v>
      </c>
      <c r="Q268" s="9">
        <f t="shared" ref="Q268:R268" si="266">average(L262:L268)</f>
        <v>99</v>
      </c>
      <c r="R268" s="9">
        <f t="shared" si="266"/>
        <v>72.91165826</v>
      </c>
      <c r="S268" s="11">
        <v>59.97</v>
      </c>
      <c r="T268" s="11">
        <v>54.64</v>
      </c>
      <c r="U268" s="12">
        <v>3.53</v>
      </c>
      <c r="V268" s="12">
        <v>1170.0</v>
      </c>
      <c r="W268" s="12">
        <v>19.0</v>
      </c>
      <c r="X268" s="8">
        <v>14342.0</v>
      </c>
      <c r="Y268" s="8">
        <v>910.0</v>
      </c>
      <c r="Z268" s="8">
        <v>771.0</v>
      </c>
      <c r="AA268" s="8">
        <v>6.04</v>
      </c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 ht="15.75" customHeight="1">
      <c r="A269" s="6">
        <v>268.0</v>
      </c>
      <c r="B269" s="7">
        <v>49577.0</v>
      </c>
      <c r="C269" s="8">
        <v>56.0</v>
      </c>
      <c r="D269" s="8">
        <v>90.05</v>
      </c>
      <c r="E269" s="8">
        <v>83.6</v>
      </c>
      <c r="F269" s="8">
        <v>56.0</v>
      </c>
      <c r="G269" s="8">
        <v>90.05</v>
      </c>
      <c r="H269" s="8">
        <v>83.6</v>
      </c>
      <c r="I269" s="8">
        <v>35.0</v>
      </c>
      <c r="J269" s="8">
        <v>24.8</v>
      </c>
      <c r="K269" s="8">
        <v>76.9</v>
      </c>
      <c r="L269" s="9">
        <f t="shared" si="1"/>
        <v>147</v>
      </c>
      <c r="M269" s="9">
        <f t="shared" si="2"/>
        <v>90.990536</v>
      </c>
      <c r="N269" s="9">
        <f t="shared" si="3"/>
        <v>129.4</v>
      </c>
      <c r="O269" s="9">
        <f t="shared" si="4"/>
        <v>103.8</v>
      </c>
      <c r="P269" s="9">
        <f t="shared" si="6"/>
        <v>101.8</v>
      </c>
      <c r="Q269" s="9">
        <f t="shared" ref="Q269:R269" si="267">average(L263:L269)</f>
        <v>106.8571429</v>
      </c>
      <c r="R269" s="9">
        <f t="shared" si="267"/>
        <v>75.9405562</v>
      </c>
      <c r="S269" s="11">
        <v>59.84</v>
      </c>
      <c r="T269" s="11">
        <v>54.82249999999999</v>
      </c>
      <c r="U269" s="12">
        <v>3.52</v>
      </c>
      <c r="V269" s="12">
        <v>1474.3</v>
      </c>
      <c r="W269" s="12">
        <v>17.0</v>
      </c>
      <c r="X269" s="8">
        <v>14356.0</v>
      </c>
      <c r="Y269" s="8">
        <v>975.0</v>
      </c>
      <c r="Z269" s="8">
        <v>602.0</v>
      </c>
      <c r="AA269" s="8">
        <v>6.034</v>
      </c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 ht="15.75" customHeight="1">
      <c r="A270" s="6">
        <v>269.0</v>
      </c>
      <c r="B270" s="7">
        <v>49578.0</v>
      </c>
      <c r="C270" s="8">
        <v>58.1</v>
      </c>
      <c r="D270" s="8">
        <v>90.31</v>
      </c>
      <c r="E270" s="8">
        <v>76.39</v>
      </c>
      <c r="F270" s="8">
        <v>58.1</v>
      </c>
      <c r="G270" s="8">
        <v>90.31</v>
      </c>
      <c r="H270" s="8">
        <v>76.39</v>
      </c>
      <c r="I270" s="8">
        <v>0.0</v>
      </c>
      <c r="J270" s="8">
        <v>24.8</v>
      </c>
      <c r="K270" s="8">
        <v>76.9</v>
      </c>
      <c r="L270" s="9">
        <f t="shared" si="1"/>
        <v>116.2</v>
      </c>
      <c r="M270" s="9">
        <f t="shared" si="2"/>
        <v>80.16383406</v>
      </c>
      <c r="N270" s="9">
        <f t="shared" si="3"/>
        <v>147</v>
      </c>
      <c r="O270" s="9">
        <f t="shared" si="4"/>
        <v>129.4</v>
      </c>
      <c r="P270" s="9">
        <f t="shared" si="6"/>
        <v>90.6</v>
      </c>
      <c r="Q270" s="9">
        <f t="shared" ref="Q270:R270" si="268">average(L264:L270)</f>
        <v>108.9142857</v>
      </c>
      <c r="R270" s="9">
        <f t="shared" si="268"/>
        <v>77.24483741</v>
      </c>
      <c r="S270" s="11">
        <v>56.06</v>
      </c>
      <c r="T270" s="11">
        <v>54.14</v>
      </c>
      <c r="U270" s="12">
        <v>3.46</v>
      </c>
      <c r="V270" s="12">
        <v>976.3</v>
      </c>
      <c r="W270" s="12">
        <v>19.0</v>
      </c>
      <c r="X270" s="8">
        <v>15826.0</v>
      </c>
      <c r="Y270" s="8">
        <v>880.0</v>
      </c>
      <c r="Z270" s="8">
        <v>819.0</v>
      </c>
      <c r="AA270" s="8">
        <v>6.431</v>
      </c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 ht="15.75" customHeight="1">
      <c r="A271" s="6">
        <v>270.0</v>
      </c>
      <c r="B271" s="7">
        <v>49579.0</v>
      </c>
      <c r="C271" s="8">
        <v>51.8</v>
      </c>
      <c r="D271" s="8">
        <v>89.89</v>
      </c>
      <c r="E271" s="8">
        <v>83.6</v>
      </c>
      <c r="F271" s="8">
        <v>51.8</v>
      </c>
      <c r="G271" s="8">
        <v>89.89</v>
      </c>
      <c r="H271" s="8">
        <v>83.6</v>
      </c>
      <c r="I271" s="8">
        <v>0.0</v>
      </c>
      <c r="J271" s="8">
        <v>24.8</v>
      </c>
      <c r="K271" s="8">
        <v>76.9</v>
      </c>
      <c r="L271" s="9">
        <f t="shared" si="1"/>
        <v>103.6</v>
      </c>
      <c r="M271" s="9">
        <f t="shared" si="2"/>
        <v>77.85336944</v>
      </c>
      <c r="N271" s="9">
        <f t="shared" si="3"/>
        <v>116.2</v>
      </c>
      <c r="O271" s="9">
        <f t="shared" si="4"/>
        <v>147</v>
      </c>
      <c r="P271" s="9">
        <f t="shared" si="6"/>
        <v>96</v>
      </c>
      <c r="Q271" s="9">
        <f t="shared" ref="Q271:R271" si="269">average(L265:L271)</f>
        <v>110.7714286</v>
      </c>
      <c r="R271" s="9">
        <f t="shared" si="269"/>
        <v>78.86597988</v>
      </c>
      <c r="S271" s="11">
        <v>55.87</v>
      </c>
      <c r="T271" s="11">
        <v>53.9925</v>
      </c>
      <c r="U271" s="12">
        <v>4.29</v>
      </c>
      <c r="V271" s="12">
        <v>865.7</v>
      </c>
      <c r="W271" s="12">
        <v>19.0</v>
      </c>
      <c r="X271" s="8">
        <v>14976.0</v>
      </c>
      <c r="Y271" s="8">
        <v>900.0</v>
      </c>
      <c r="Z271" s="8">
        <v>737.0</v>
      </c>
      <c r="AA271" s="8">
        <v>6.181</v>
      </c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 ht="15.75" customHeight="1">
      <c r="A272" s="6">
        <v>271.0</v>
      </c>
      <c r="B272" s="7">
        <v>49580.0</v>
      </c>
      <c r="C272" s="8">
        <v>59.0</v>
      </c>
      <c r="D272" s="8">
        <v>90.07</v>
      </c>
      <c r="E272" s="8">
        <v>83.47</v>
      </c>
      <c r="F272" s="8">
        <v>59.0</v>
      </c>
      <c r="G272" s="8">
        <v>90.07</v>
      </c>
      <c r="H272" s="8">
        <v>83.47</v>
      </c>
      <c r="I272" s="8">
        <v>0.0</v>
      </c>
      <c r="J272" s="8">
        <v>24.8</v>
      </c>
      <c r="K272" s="8">
        <v>76.9</v>
      </c>
      <c r="L272" s="9">
        <f t="shared" si="1"/>
        <v>118</v>
      </c>
      <c r="M272" s="9">
        <f t="shared" si="2"/>
        <v>88.71408622</v>
      </c>
      <c r="N272" s="9">
        <f t="shared" si="3"/>
        <v>103.6</v>
      </c>
      <c r="O272" s="9">
        <f t="shared" si="4"/>
        <v>116.2</v>
      </c>
      <c r="P272" s="9">
        <f t="shared" si="6"/>
        <v>79.4</v>
      </c>
      <c r="Q272" s="9">
        <f t="shared" ref="Q272:R272" si="270">average(L266:L272)</f>
        <v>113.9142857</v>
      </c>
      <c r="R272" s="9">
        <f t="shared" si="270"/>
        <v>80.85737131</v>
      </c>
      <c r="S272" s="11">
        <v>55.21</v>
      </c>
      <c r="T272" s="11">
        <v>53.682500000000005</v>
      </c>
      <c r="U272" s="12">
        <v>4.23</v>
      </c>
      <c r="V272" s="12">
        <v>948.7</v>
      </c>
      <c r="W272" s="12">
        <v>19.0</v>
      </c>
      <c r="X272" s="8">
        <v>15395.0</v>
      </c>
      <c r="Y272" s="8">
        <v>900.0</v>
      </c>
      <c r="Z272" s="8">
        <v>904.0</v>
      </c>
      <c r="AA272" s="8">
        <v>6.171</v>
      </c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 ht="15.75" customHeight="1">
      <c r="A273" s="6">
        <v>272.0</v>
      </c>
      <c r="B273" s="7">
        <v>49581.0</v>
      </c>
      <c r="C273" s="8">
        <v>57.1</v>
      </c>
      <c r="D273" s="8">
        <v>88.9</v>
      </c>
      <c r="E273" s="8">
        <v>83.8</v>
      </c>
      <c r="F273" s="8">
        <v>57.1</v>
      </c>
      <c r="G273" s="8">
        <v>88.9</v>
      </c>
      <c r="H273" s="8">
        <v>83.8</v>
      </c>
      <c r="I273" s="8">
        <v>0.0</v>
      </c>
      <c r="J273" s="8">
        <v>24.8</v>
      </c>
      <c r="K273" s="8">
        <v>76.9</v>
      </c>
      <c r="L273" s="9">
        <f t="shared" si="1"/>
        <v>114.2</v>
      </c>
      <c r="M273" s="9">
        <f t="shared" si="2"/>
        <v>85.0769444</v>
      </c>
      <c r="N273" s="9">
        <f t="shared" si="3"/>
        <v>118</v>
      </c>
      <c r="O273" s="9">
        <f t="shared" si="4"/>
        <v>103.6</v>
      </c>
      <c r="P273" s="9">
        <f t="shared" si="6"/>
        <v>103.8</v>
      </c>
      <c r="Q273" s="9">
        <f t="shared" ref="Q273:R273" si="271">average(L267:L273)</f>
        <v>118.8857143</v>
      </c>
      <c r="R273" s="9">
        <f t="shared" si="271"/>
        <v>84.21312883</v>
      </c>
      <c r="S273" s="11">
        <v>55.52</v>
      </c>
      <c r="T273" s="11">
        <v>53.709999999999994</v>
      </c>
      <c r="U273" s="12">
        <v>3.48</v>
      </c>
      <c r="V273" s="12">
        <v>921.0</v>
      </c>
      <c r="W273" s="12">
        <v>19.0</v>
      </c>
      <c r="X273" s="8">
        <v>14805.0</v>
      </c>
      <c r="Y273" s="8">
        <v>900.0</v>
      </c>
      <c r="Z273" s="8">
        <v>883.0</v>
      </c>
      <c r="AA273" s="8">
        <v>6.058</v>
      </c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</row>
    <row r="274" ht="15.75" customHeight="1">
      <c r="A274" s="6">
        <v>273.0</v>
      </c>
      <c r="B274" s="7">
        <v>49582.0</v>
      </c>
      <c r="C274" s="8">
        <v>57.4</v>
      </c>
      <c r="D274" s="8">
        <v>88.39</v>
      </c>
      <c r="E274" s="8">
        <v>81.66</v>
      </c>
      <c r="F274" s="8">
        <v>57.4</v>
      </c>
      <c r="G274" s="8">
        <v>88.39</v>
      </c>
      <c r="H274" s="8">
        <v>81.66</v>
      </c>
      <c r="I274" s="8">
        <v>0.0</v>
      </c>
      <c r="J274" s="8">
        <v>24.8</v>
      </c>
      <c r="K274" s="8">
        <v>76.9</v>
      </c>
      <c r="L274" s="9">
        <f t="shared" si="1"/>
        <v>114.8</v>
      </c>
      <c r="M274" s="9">
        <f t="shared" si="2"/>
        <v>82.86180655</v>
      </c>
      <c r="N274" s="9">
        <f t="shared" si="3"/>
        <v>114.2</v>
      </c>
      <c r="O274" s="9">
        <f t="shared" si="4"/>
        <v>118</v>
      </c>
      <c r="P274" s="9">
        <f t="shared" si="6"/>
        <v>129.4</v>
      </c>
      <c r="Q274" s="9">
        <f t="shared" ref="Q274:R274" si="272">average(L268:L274)</f>
        <v>120.4571429</v>
      </c>
      <c r="R274" s="9">
        <f t="shared" si="272"/>
        <v>85.88417404</v>
      </c>
      <c r="S274" s="11">
        <v>57.31</v>
      </c>
      <c r="T274" s="11">
        <v>53.895</v>
      </c>
      <c r="U274" s="12">
        <v>3.69</v>
      </c>
      <c r="V274" s="12">
        <v>976.3</v>
      </c>
      <c r="W274" s="12">
        <v>19.0</v>
      </c>
      <c r="X274" s="8">
        <v>14757.0</v>
      </c>
      <c r="Y274" s="8">
        <v>900.0</v>
      </c>
      <c r="Z274" s="8">
        <v>997.0</v>
      </c>
      <c r="AA274" s="8">
        <v>6.151</v>
      </c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</row>
    <row r="275" ht="15.75" customHeight="1">
      <c r="A275" s="6">
        <v>274.0</v>
      </c>
      <c r="B275" s="7">
        <v>49583.0</v>
      </c>
      <c r="C275" s="8">
        <v>57.1</v>
      </c>
      <c r="D275" s="8">
        <v>90.19</v>
      </c>
      <c r="E275" s="8">
        <v>87.09</v>
      </c>
      <c r="F275" s="8">
        <v>57.1</v>
      </c>
      <c r="G275" s="8">
        <v>90.19</v>
      </c>
      <c r="H275" s="8">
        <v>87.09</v>
      </c>
      <c r="I275" s="8">
        <v>0.0</v>
      </c>
      <c r="J275" s="8">
        <v>24.8</v>
      </c>
      <c r="K275" s="8">
        <v>76.9</v>
      </c>
      <c r="L275" s="9">
        <f t="shared" si="1"/>
        <v>114.2</v>
      </c>
      <c r="M275" s="9">
        <f t="shared" si="2"/>
        <v>89.70006988</v>
      </c>
      <c r="N275" s="9">
        <f t="shared" si="3"/>
        <v>114.8</v>
      </c>
      <c r="O275" s="9">
        <f t="shared" si="4"/>
        <v>114.2</v>
      </c>
      <c r="P275" s="9">
        <f t="shared" si="6"/>
        <v>147</v>
      </c>
      <c r="Q275" s="9">
        <f t="shared" ref="Q275:R275" si="273">average(L269:L275)</f>
        <v>118.2857143</v>
      </c>
      <c r="R275" s="9">
        <f t="shared" si="273"/>
        <v>85.05152094</v>
      </c>
      <c r="S275" s="11">
        <v>57.47</v>
      </c>
      <c r="T275" s="11">
        <v>53.855000000000004</v>
      </c>
      <c r="U275" s="12">
        <v>3.4</v>
      </c>
      <c r="V275" s="12">
        <v>1087.0</v>
      </c>
      <c r="W275" s="12">
        <v>19.0</v>
      </c>
      <c r="X275" s="8">
        <v>13723.0</v>
      </c>
      <c r="Y275" s="8">
        <v>900.0</v>
      </c>
      <c r="Z275" s="8">
        <v>905.0</v>
      </c>
      <c r="AA275" s="8">
        <v>5.812</v>
      </c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 ht="15.75" customHeight="1">
      <c r="A276" s="6">
        <v>275.0</v>
      </c>
      <c r="B276" s="7">
        <v>49584.0</v>
      </c>
      <c r="C276" s="8">
        <v>65.2</v>
      </c>
      <c r="D276" s="8">
        <v>90.04</v>
      </c>
      <c r="E276" s="8">
        <v>83.6</v>
      </c>
      <c r="F276" s="8">
        <v>65.2</v>
      </c>
      <c r="G276" s="8">
        <v>90.04</v>
      </c>
      <c r="H276" s="8">
        <v>83.6</v>
      </c>
      <c r="I276" s="8">
        <v>0.0</v>
      </c>
      <c r="J276" s="8">
        <v>24.8</v>
      </c>
      <c r="K276" s="8">
        <v>76.9</v>
      </c>
      <c r="L276" s="9">
        <f t="shared" si="1"/>
        <v>130.4</v>
      </c>
      <c r="M276" s="9">
        <f t="shared" si="2"/>
        <v>98.15656576</v>
      </c>
      <c r="N276" s="9">
        <f t="shared" si="3"/>
        <v>114.2</v>
      </c>
      <c r="O276" s="9">
        <f t="shared" si="4"/>
        <v>114.8</v>
      </c>
      <c r="P276" s="9">
        <f t="shared" si="6"/>
        <v>116.2</v>
      </c>
      <c r="Q276" s="9">
        <f t="shared" ref="Q276:R276" si="274">average(L270:L276)</f>
        <v>115.9142857</v>
      </c>
      <c r="R276" s="9">
        <f t="shared" si="274"/>
        <v>86.07523947</v>
      </c>
      <c r="S276" s="11">
        <v>57.85</v>
      </c>
      <c r="T276" s="11">
        <v>53.735</v>
      </c>
      <c r="U276" s="12">
        <v>3.38</v>
      </c>
      <c r="V276" s="12">
        <v>1059.3</v>
      </c>
      <c r="W276" s="12">
        <v>19.0</v>
      </c>
      <c r="X276" s="8">
        <v>13859.0</v>
      </c>
      <c r="Y276" s="8">
        <v>900.0</v>
      </c>
      <c r="Z276" s="8">
        <v>845.0</v>
      </c>
      <c r="AA276" s="8">
        <v>6.004</v>
      </c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 ht="15.75" customHeight="1">
      <c r="A277" s="6">
        <v>276.0</v>
      </c>
      <c r="B277" s="7">
        <v>49585.0</v>
      </c>
      <c r="C277" s="8">
        <v>66.7</v>
      </c>
      <c r="D277" s="8">
        <v>89.68</v>
      </c>
      <c r="E277" s="8">
        <v>79.87</v>
      </c>
      <c r="F277" s="8">
        <v>66.7</v>
      </c>
      <c r="G277" s="8">
        <v>89.68</v>
      </c>
      <c r="H277" s="8">
        <v>79.87</v>
      </c>
      <c r="I277" s="8">
        <v>29.0</v>
      </c>
      <c r="J277" s="8">
        <v>24.8</v>
      </c>
      <c r="K277" s="8">
        <v>76.9</v>
      </c>
      <c r="L277" s="9">
        <f t="shared" si="1"/>
        <v>162.4</v>
      </c>
      <c r="M277" s="9">
        <f t="shared" si="2"/>
        <v>101.0816209</v>
      </c>
      <c r="N277" s="9">
        <f t="shared" si="3"/>
        <v>130.4</v>
      </c>
      <c r="O277" s="9">
        <f t="shared" si="4"/>
        <v>114.2</v>
      </c>
      <c r="P277" s="9">
        <f t="shared" si="6"/>
        <v>103.6</v>
      </c>
      <c r="Q277" s="9">
        <f t="shared" ref="Q277:R277" si="275">average(L271:L277)</f>
        <v>122.5142857</v>
      </c>
      <c r="R277" s="9">
        <f t="shared" si="275"/>
        <v>89.06349474</v>
      </c>
      <c r="S277" s="11">
        <v>56.64</v>
      </c>
      <c r="T277" s="11">
        <v>53.545</v>
      </c>
      <c r="U277" s="12">
        <v>3.95</v>
      </c>
      <c r="V277" s="12">
        <v>1170.0</v>
      </c>
      <c r="W277" s="12">
        <v>19.0</v>
      </c>
      <c r="X277" s="8">
        <v>13466.0</v>
      </c>
      <c r="Y277" s="8">
        <v>900.0</v>
      </c>
      <c r="Z277" s="8">
        <v>909.0</v>
      </c>
      <c r="AA277" s="8">
        <v>5.863</v>
      </c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 ht="15.75" customHeight="1">
      <c r="A278" s="6">
        <v>277.0</v>
      </c>
      <c r="B278" s="7">
        <v>49586.0</v>
      </c>
      <c r="C278" s="8">
        <v>52.0</v>
      </c>
      <c r="D278" s="8">
        <v>88.36</v>
      </c>
      <c r="E278" s="8">
        <v>80.61</v>
      </c>
      <c r="F278" s="8">
        <v>52.0</v>
      </c>
      <c r="G278" s="8">
        <v>88.36</v>
      </c>
      <c r="H278" s="8">
        <v>80.61</v>
      </c>
      <c r="I278" s="8">
        <v>6.0</v>
      </c>
      <c r="J278" s="8">
        <v>24.8</v>
      </c>
      <c r="K278" s="8">
        <v>76.9</v>
      </c>
      <c r="L278" s="9">
        <f t="shared" si="1"/>
        <v>110</v>
      </c>
      <c r="M278" s="9">
        <f t="shared" si="2"/>
        <v>75.22034784</v>
      </c>
      <c r="N278" s="9">
        <f t="shared" si="3"/>
        <v>162.4</v>
      </c>
      <c r="O278" s="9">
        <f t="shared" si="4"/>
        <v>130.4</v>
      </c>
      <c r="P278" s="9">
        <f t="shared" si="6"/>
        <v>118</v>
      </c>
      <c r="Q278" s="9">
        <f t="shared" ref="Q278:R278" si="276">average(L272:L278)</f>
        <v>123.4285714</v>
      </c>
      <c r="R278" s="9">
        <f t="shared" si="276"/>
        <v>88.6873488</v>
      </c>
      <c r="S278" s="11">
        <v>55.28</v>
      </c>
      <c r="T278" s="11">
        <v>53.059999999999995</v>
      </c>
      <c r="U278" s="12">
        <v>3.26</v>
      </c>
      <c r="V278" s="12">
        <v>1391.3</v>
      </c>
      <c r="W278" s="12">
        <v>18.0</v>
      </c>
      <c r="X278" s="8">
        <v>14810.0</v>
      </c>
      <c r="Y278" s="8">
        <v>930.0</v>
      </c>
      <c r="Z278" s="8">
        <v>813.0</v>
      </c>
      <c r="AA278" s="8">
        <v>6.531</v>
      </c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 ht="15.75" customHeight="1">
      <c r="A279" s="6">
        <v>278.0</v>
      </c>
      <c r="B279" s="7">
        <v>49587.0</v>
      </c>
      <c r="C279" s="8">
        <v>51.7</v>
      </c>
      <c r="D279" s="8">
        <v>89.32</v>
      </c>
      <c r="E279" s="8">
        <v>80.77</v>
      </c>
      <c r="F279" s="8">
        <v>51.7</v>
      </c>
      <c r="G279" s="8">
        <v>89.32</v>
      </c>
      <c r="H279" s="8">
        <v>80.77</v>
      </c>
      <c r="I279" s="8">
        <v>0.0</v>
      </c>
      <c r="J279" s="8">
        <v>24.8</v>
      </c>
      <c r="K279" s="8">
        <v>76.9</v>
      </c>
      <c r="L279" s="9">
        <f t="shared" si="1"/>
        <v>103.4</v>
      </c>
      <c r="M279" s="9">
        <f t="shared" si="2"/>
        <v>74.59665198</v>
      </c>
      <c r="N279" s="9">
        <f t="shared" si="3"/>
        <v>110</v>
      </c>
      <c r="O279" s="9">
        <f t="shared" si="4"/>
        <v>162.4</v>
      </c>
      <c r="P279" s="9">
        <f t="shared" si="6"/>
        <v>114.2</v>
      </c>
      <c r="Q279" s="9">
        <f t="shared" ref="Q279:R279" si="277">average(L273:L279)</f>
        <v>121.3428571</v>
      </c>
      <c r="R279" s="9">
        <f t="shared" si="277"/>
        <v>86.67057248</v>
      </c>
      <c r="S279" s="11">
        <v>55.2</v>
      </c>
      <c r="T279" s="11">
        <v>53.0225</v>
      </c>
      <c r="U279" s="12">
        <v>4.2</v>
      </c>
      <c r="V279" s="12">
        <v>1142.3</v>
      </c>
      <c r="W279" s="12">
        <v>19.0</v>
      </c>
      <c r="X279" s="8">
        <v>14219.0</v>
      </c>
      <c r="Y279" s="8">
        <v>910.0</v>
      </c>
      <c r="Z279" s="8">
        <v>764.0</v>
      </c>
      <c r="AA279" s="8">
        <v>6.179</v>
      </c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 ht="15.75" customHeight="1">
      <c r="A280" s="6">
        <v>279.0</v>
      </c>
      <c r="B280" s="7">
        <v>49588.0</v>
      </c>
      <c r="C280" s="8">
        <v>58.3</v>
      </c>
      <c r="D280" s="8">
        <v>88.63</v>
      </c>
      <c r="E280" s="8">
        <v>84.27</v>
      </c>
      <c r="F280" s="8">
        <v>58.3</v>
      </c>
      <c r="G280" s="8">
        <v>88.63</v>
      </c>
      <c r="H280" s="8">
        <v>84.27</v>
      </c>
      <c r="I280" s="8">
        <v>0.0</v>
      </c>
      <c r="J280" s="8">
        <v>24.8</v>
      </c>
      <c r="K280" s="8">
        <v>76.9</v>
      </c>
      <c r="L280" s="9">
        <f t="shared" si="1"/>
        <v>116.6</v>
      </c>
      <c r="M280" s="9">
        <f t="shared" si="2"/>
        <v>87.08679217</v>
      </c>
      <c r="N280" s="9">
        <f t="shared" si="3"/>
        <v>103.4</v>
      </c>
      <c r="O280" s="9">
        <f t="shared" si="4"/>
        <v>110</v>
      </c>
      <c r="P280" s="9">
        <f t="shared" si="6"/>
        <v>114.8</v>
      </c>
      <c r="Q280" s="9">
        <f t="shared" ref="Q280:R280" si="278">average(L274:L280)</f>
        <v>121.6857143</v>
      </c>
      <c r="R280" s="9">
        <f t="shared" si="278"/>
        <v>86.95769359</v>
      </c>
      <c r="S280" s="11">
        <v>55.3</v>
      </c>
      <c r="T280" s="11">
        <v>52.645</v>
      </c>
      <c r="U280" s="12">
        <v>3.42</v>
      </c>
      <c r="V280" s="12">
        <v>1502.0</v>
      </c>
      <c r="W280" s="12">
        <v>17.0</v>
      </c>
      <c r="X280" s="8">
        <v>13892.0</v>
      </c>
      <c r="Y280" s="8">
        <v>990.0</v>
      </c>
      <c r="Z280" s="8">
        <v>973.0</v>
      </c>
      <c r="AA280" s="8">
        <v>6.005</v>
      </c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 ht="15.75" customHeight="1">
      <c r="A281" s="6">
        <v>280.0</v>
      </c>
      <c r="B281" s="7">
        <v>49589.0</v>
      </c>
      <c r="C281" s="8">
        <v>60.3</v>
      </c>
      <c r="D281" s="8">
        <v>88.2</v>
      </c>
      <c r="E281" s="8">
        <v>81.55</v>
      </c>
      <c r="F281" s="8">
        <v>60.3</v>
      </c>
      <c r="G281" s="8">
        <v>88.2</v>
      </c>
      <c r="H281" s="8">
        <v>81.55</v>
      </c>
      <c r="I281" s="8">
        <v>0.0</v>
      </c>
      <c r="J281" s="8">
        <v>24.8</v>
      </c>
      <c r="K281" s="8">
        <v>76.9</v>
      </c>
      <c r="L281" s="9">
        <f t="shared" si="1"/>
        <v>120.6</v>
      </c>
      <c r="M281" s="9">
        <f t="shared" si="2"/>
        <v>86.7440826</v>
      </c>
      <c r="N281" s="9">
        <f t="shared" si="3"/>
        <v>116.6</v>
      </c>
      <c r="O281" s="9">
        <f t="shared" si="4"/>
        <v>103.4</v>
      </c>
      <c r="P281" s="9">
        <f t="shared" si="6"/>
        <v>114.2</v>
      </c>
      <c r="Q281" s="9">
        <f t="shared" ref="Q281:R281" si="279">average(L275:L281)</f>
        <v>122.5142857</v>
      </c>
      <c r="R281" s="9">
        <f t="shared" si="279"/>
        <v>87.51230445</v>
      </c>
      <c r="S281" s="11">
        <v>55.24</v>
      </c>
      <c r="T281" s="11">
        <v>52.5475</v>
      </c>
      <c r="U281" s="12">
        <v>3.48</v>
      </c>
      <c r="V281" s="12">
        <v>1529.7</v>
      </c>
      <c r="W281" s="12">
        <v>18.0</v>
      </c>
      <c r="X281" s="8">
        <v>14816.0</v>
      </c>
      <c r="Y281" s="8">
        <v>960.0</v>
      </c>
      <c r="Z281" s="8">
        <v>953.0</v>
      </c>
      <c r="AA281" s="8">
        <v>6.427</v>
      </c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 ht="15.75" customHeight="1">
      <c r="A282" s="6">
        <v>281.0</v>
      </c>
      <c r="B282" s="7">
        <v>49590.0</v>
      </c>
      <c r="C282" s="8">
        <v>63.8</v>
      </c>
      <c r="D282" s="8">
        <v>89.39</v>
      </c>
      <c r="E282" s="8">
        <v>80.56</v>
      </c>
      <c r="F282" s="8">
        <v>63.8</v>
      </c>
      <c r="G282" s="8">
        <v>89.39</v>
      </c>
      <c r="H282" s="8">
        <v>80.56</v>
      </c>
      <c r="I282" s="8">
        <v>0.0</v>
      </c>
      <c r="J282" s="8">
        <v>24.8</v>
      </c>
      <c r="K282" s="8">
        <v>76.9</v>
      </c>
      <c r="L282" s="9">
        <f t="shared" si="1"/>
        <v>127.6</v>
      </c>
      <c r="M282" s="9">
        <f t="shared" si="2"/>
        <v>91.88805718</v>
      </c>
      <c r="N282" s="9">
        <f t="shared" si="3"/>
        <v>120.6</v>
      </c>
      <c r="O282" s="9">
        <f t="shared" si="4"/>
        <v>116.6</v>
      </c>
      <c r="P282" s="9">
        <f t="shared" si="6"/>
        <v>130.4</v>
      </c>
      <c r="Q282" s="9">
        <f t="shared" ref="Q282:R282" si="280">average(L276:L282)</f>
        <v>124.4285714</v>
      </c>
      <c r="R282" s="9">
        <f t="shared" si="280"/>
        <v>87.82487407</v>
      </c>
      <c r="S282" s="11">
        <v>56.24</v>
      </c>
      <c r="T282" s="11">
        <v>53.215</v>
      </c>
      <c r="U282" s="12">
        <v>3.9</v>
      </c>
      <c r="V282" s="12">
        <v>1668.0</v>
      </c>
      <c r="W282" s="12">
        <v>18.0</v>
      </c>
      <c r="X282" s="8">
        <v>14033.0</v>
      </c>
      <c r="Y282" s="8">
        <v>930.0</v>
      </c>
      <c r="Z282" s="8">
        <v>895.0</v>
      </c>
      <c r="AA282" s="8">
        <v>6.007</v>
      </c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 ht="15.75" customHeight="1">
      <c r="A283" s="6">
        <v>282.0</v>
      </c>
      <c r="B283" s="7">
        <v>49591.0</v>
      </c>
      <c r="C283" s="8">
        <v>65.8</v>
      </c>
      <c r="D283" s="8">
        <v>87.63</v>
      </c>
      <c r="E283" s="8">
        <v>79.34</v>
      </c>
      <c r="F283" s="8">
        <v>65.8</v>
      </c>
      <c r="G283" s="8">
        <v>87.63</v>
      </c>
      <c r="H283" s="8">
        <v>79.34</v>
      </c>
      <c r="I283" s="8">
        <v>42.0</v>
      </c>
      <c r="J283" s="8">
        <v>24.8</v>
      </c>
      <c r="K283" s="8">
        <v>76.9</v>
      </c>
      <c r="L283" s="9">
        <f t="shared" si="1"/>
        <v>173.6</v>
      </c>
      <c r="M283" s="9">
        <f t="shared" si="2"/>
        <v>99.50564887</v>
      </c>
      <c r="N283" s="9">
        <f t="shared" si="3"/>
        <v>127.6</v>
      </c>
      <c r="O283" s="9">
        <f t="shared" si="4"/>
        <v>120.6</v>
      </c>
      <c r="P283" s="9">
        <f t="shared" si="6"/>
        <v>162.4</v>
      </c>
      <c r="Q283" s="9">
        <f t="shared" ref="Q283:R283" si="281">average(L277:L283)</f>
        <v>130.6</v>
      </c>
      <c r="R283" s="9">
        <f t="shared" si="281"/>
        <v>88.01760023</v>
      </c>
      <c r="S283" s="11">
        <v>55.87</v>
      </c>
      <c r="T283" s="11">
        <v>53.0275</v>
      </c>
      <c r="U283" s="12">
        <v>4.47</v>
      </c>
      <c r="V283" s="12">
        <v>1557.3</v>
      </c>
      <c r="W283" s="12">
        <v>17.0</v>
      </c>
      <c r="X283" s="8">
        <v>14208.0</v>
      </c>
      <c r="Y283" s="8">
        <v>990.0</v>
      </c>
      <c r="Z283" s="8">
        <v>873.0</v>
      </c>
      <c r="AA283" s="8">
        <v>6.033</v>
      </c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 ht="15.75" customHeight="1">
      <c r="A284" s="6">
        <v>283.0</v>
      </c>
      <c r="B284" s="7">
        <v>49592.0</v>
      </c>
      <c r="C284" s="8">
        <v>65.7</v>
      </c>
      <c r="D284" s="8">
        <v>88.41</v>
      </c>
      <c r="E284" s="8">
        <v>81.46</v>
      </c>
      <c r="F284" s="8">
        <v>65.7</v>
      </c>
      <c r="G284" s="8">
        <v>88.41</v>
      </c>
      <c r="H284" s="8">
        <v>81.46</v>
      </c>
      <c r="I284" s="8">
        <v>0.0</v>
      </c>
      <c r="J284" s="8">
        <v>24.8</v>
      </c>
      <c r="K284" s="8">
        <v>76.9</v>
      </c>
      <c r="L284" s="9">
        <f t="shared" si="1"/>
        <v>131.4</v>
      </c>
      <c r="M284" s="9">
        <f t="shared" si="2"/>
        <v>94.6326848</v>
      </c>
      <c r="N284" s="9">
        <f t="shared" si="3"/>
        <v>173.6</v>
      </c>
      <c r="O284" s="9">
        <f t="shared" si="4"/>
        <v>127.6</v>
      </c>
      <c r="P284" s="9">
        <f t="shared" si="6"/>
        <v>110</v>
      </c>
      <c r="Q284" s="9">
        <f t="shared" ref="Q284:R284" si="282">average(L278:L284)</f>
        <v>126.1714286</v>
      </c>
      <c r="R284" s="9">
        <f t="shared" si="282"/>
        <v>87.09632363</v>
      </c>
      <c r="S284" s="11">
        <v>56.01</v>
      </c>
      <c r="T284" s="11">
        <v>52.895</v>
      </c>
      <c r="U284" s="12">
        <v>4.19</v>
      </c>
      <c r="V284" s="12">
        <v>1336.0</v>
      </c>
      <c r="W284" s="12">
        <v>18.0</v>
      </c>
      <c r="X284" s="8">
        <v>16479.0</v>
      </c>
      <c r="Y284" s="8">
        <v>945.0</v>
      </c>
      <c r="Z284" s="8">
        <v>812.0</v>
      </c>
      <c r="AA284" s="8">
        <v>7.014</v>
      </c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 ht="15.75" customHeight="1">
      <c r="A285" s="6">
        <v>284.0</v>
      </c>
      <c r="B285" s="7">
        <v>49593.0</v>
      </c>
      <c r="C285" s="8">
        <v>66.5</v>
      </c>
      <c r="D285" s="8">
        <v>87.9</v>
      </c>
      <c r="E285" s="8">
        <v>78.78</v>
      </c>
      <c r="F285" s="8">
        <v>66.5</v>
      </c>
      <c r="G285" s="8">
        <v>87.9</v>
      </c>
      <c r="H285" s="8">
        <v>78.78</v>
      </c>
      <c r="I285" s="8">
        <v>0.0</v>
      </c>
      <c r="J285" s="8">
        <v>24.8</v>
      </c>
      <c r="K285" s="8">
        <v>76.9</v>
      </c>
      <c r="L285" s="9">
        <f t="shared" si="1"/>
        <v>133</v>
      </c>
      <c r="M285" s="9">
        <f t="shared" si="2"/>
        <v>92.0993346</v>
      </c>
      <c r="N285" s="9">
        <f t="shared" si="3"/>
        <v>131.4</v>
      </c>
      <c r="O285" s="9">
        <f t="shared" si="4"/>
        <v>173.6</v>
      </c>
      <c r="P285" s="9">
        <f t="shared" si="6"/>
        <v>103.4</v>
      </c>
      <c r="Q285" s="9">
        <f t="shared" ref="Q285:R285" si="283">average(L279:L285)</f>
        <v>129.4571429</v>
      </c>
      <c r="R285" s="9">
        <f t="shared" si="283"/>
        <v>89.50760746</v>
      </c>
      <c r="S285" s="11">
        <v>55.76</v>
      </c>
      <c r="T285" s="11">
        <v>52.905</v>
      </c>
      <c r="U285" s="12">
        <v>4.02</v>
      </c>
      <c r="V285" s="12">
        <v>1197.7</v>
      </c>
      <c r="W285" s="12">
        <v>19.0</v>
      </c>
      <c r="X285" s="8">
        <v>17479.0</v>
      </c>
      <c r="Y285" s="8">
        <v>900.0</v>
      </c>
      <c r="Z285" s="8">
        <v>927.0</v>
      </c>
      <c r="AA285" s="8">
        <v>7.252</v>
      </c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 ht="15.75" customHeight="1">
      <c r="A286" s="6">
        <v>285.0</v>
      </c>
      <c r="B286" s="7">
        <v>49594.0</v>
      </c>
      <c r="C286" s="8">
        <v>65.3</v>
      </c>
      <c r="D286" s="8">
        <v>89.35</v>
      </c>
      <c r="E286" s="8">
        <v>82.05</v>
      </c>
      <c r="F286" s="8">
        <v>65.3</v>
      </c>
      <c r="G286" s="8">
        <v>89.35</v>
      </c>
      <c r="H286" s="8">
        <v>82.05</v>
      </c>
      <c r="I286" s="8">
        <v>0.0</v>
      </c>
      <c r="J286" s="8">
        <v>24.8</v>
      </c>
      <c r="K286" s="8">
        <v>76.9</v>
      </c>
      <c r="L286" s="9">
        <f t="shared" si="1"/>
        <v>130.6</v>
      </c>
      <c r="M286" s="9">
        <f t="shared" si="2"/>
        <v>95.74504755</v>
      </c>
      <c r="N286" s="9">
        <f t="shared" si="3"/>
        <v>133</v>
      </c>
      <c r="O286" s="9">
        <f t="shared" si="4"/>
        <v>131.4</v>
      </c>
      <c r="P286" s="9">
        <f t="shared" si="6"/>
        <v>116.6</v>
      </c>
      <c r="Q286" s="9">
        <f t="shared" ref="Q286:R286" si="284">average(L280:L286)</f>
        <v>133.3428571</v>
      </c>
      <c r="R286" s="9">
        <f t="shared" si="284"/>
        <v>92.52880683</v>
      </c>
      <c r="S286" s="11">
        <v>55.87</v>
      </c>
      <c r="T286" s="11">
        <v>53.32000000000001</v>
      </c>
      <c r="U286" s="12">
        <v>3.22</v>
      </c>
      <c r="V286" s="12">
        <v>1336.0</v>
      </c>
      <c r="W286" s="12">
        <v>19.0</v>
      </c>
      <c r="X286" s="8">
        <v>17330.0</v>
      </c>
      <c r="Y286" s="8">
        <v>900.0</v>
      </c>
      <c r="Z286" s="8">
        <v>906.0</v>
      </c>
      <c r="AA286" s="8">
        <v>7.085</v>
      </c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 ht="15.75" customHeight="1">
      <c r="A287" s="6">
        <v>286.0</v>
      </c>
      <c r="B287" s="7">
        <v>49595.0</v>
      </c>
      <c r="C287" s="8">
        <v>65.3</v>
      </c>
      <c r="D287" s="8">
        <v>89.08</v>
      </c>
      <c r="E287" s="8">
        <v>82.41</v>
      </c>
      <c r="F287" s="8">
        <v>65.3</v>
      </c>
      <c r="G287" s="8">
        <v>89.08</v>
      </c>
      <c r="H287" s="8">
        <v>82.41</v>
      </c>
      <c r="I287" s="8">
        <v>0.0</v>
      </c>
      <c r="J287" s="8">
        <v>24.8</v>
      </c>
      <c r="K287" s="8">
        <v>76.9</v>
      </c>
      <c r="L287" s="9">
        <f t="shared" si="1"/>
        <v>130.6</v>
      </c>
      <c r="M287" s="9">
        <f t="shared" si="2"/>
        <v>95.87454137</v>
      </c>
      <c r="N287" s="9">
        <f t="shared" si="3"/>
        <v>130.6</v>
      </c>
      <c r="O287" s="9">
        <f t="shared" si="4"/>
        <v>133</v>
      </c>
      <c r="P287" s="9">
        <f t="shared" si="6"/>
        <v>120.6</v>
      </c>
      <c r="Q287" s="9">
        <f t="shared" ref="Q287:R287" si="285">average(L281:L287)</f>
        <v>135.3428571</v>
      </c>
      <c r="R287" s="9">
        <f t="shared" si="285"/>
        <v>93.78419957</v>
      </c>
      <c r="S287" s="11">
        <v>55.64</v>
      </c>
      <c r="T287" s="11">
        <v>53.400000000000006</v>
      </c>
      <c r="U287" s="12">
        <v>3.93</v>
      </c>
      <c r="V287" s="12">
        <v>1197.7</v>
      </c>
      <c r="W287" s="12">
        <v>18.0</v>
      </c>
      <c r="X287" s="8">
        <v>17518.0</v>
      </c>
      <c r="Y287" s="8">
        <v>960.0</v>
      </c>
      <c r="Z287" s="8">
        <v>947.0</v>
      </c>
      <c r="AA287" s="8">
        <v>7.097</v>
      </c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 ht="15.75" customHeight="1">
      <c r="A288" s="6">
        <v>287.0</v>
      </c>
      <c r="B288" s="7">
        <v>49596.0</v>
      </c>
      <c r="C288" s="8">
        <v>65.0</v>
      </c>
      <c r="D288" s="8">
        <v>91.28</v>
      </c>
      <c r="E288" s="8">
        <v>81.26</v>
      </c>
      <c r="F288" s="8">
        <v>65.0</v>
      </c>
      <c r="G288" s="8">
        <v>91.28</v>
      </c>
      <c r="H288" s="8">
        <v>81.26</v>
      </c>
      <c r="I288" s="8">
        <v>0.0</v>
      </c>
      <c r="J288" s="8">
        <v>24.8</v>
      </c>
      <c r="K288" s="8">
        <v>76.9</v>
      </c>
      <c r="L288" s="9">
        <f t="shared" si="1"/>
        <v>130</v>
      </c>
      <c r="M288" s="9">
        <f t="shared" si="2"/>
        <v>96.4263664</v>
      </c>
      <c r="N288" s="9">
        <f t="shared" si="3"/>
        <v>130.6</v>
      </c>
      <c r="O288" s="9">
        <f t="shared" si="4"/>
        <v>130.6</v>
      </c>
      <c r="P288" s="9">
        <f t="shared" si="6"/>
        <v>127.6</v>
      </c>
      <c r="Q288" s="9">
        <f t="shared" ref="Q288:R288" si="286">average(L282:L288)</f>
        <v>136.6857143</v>
      </c>
      <c r="R288" s="9">
        <f t="shared" si="286"/>
        <v>95.16738297</v>
      </c>
      <c r="S288" s="11">
        <v>56.47</v>
      </c>
      <c r="T288" s="11">
        <v>53.965</v>
      </c>
      <c r="U288" s="12">
        <v>4.14</v>
      </c>
      <c r="V288" s="12">
        <v>1474.3</v>
      </c>
      <c r="W288" s="12">
        <v>18.0</v>
      </c>
      <c r="X288" s="8">
        <v>17795.0</v>
      </c>
      <c r="Y288" s="8">
        <v>930.0</v>
      </c>
      <c r="Z288" s="8">
        <v>940.0</v>
      </c>
      <c r="AA288" s="8">
        <v>7.386</v>
      </c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 ht="15.75" customHeight="1">
      <c r="A289" s="6">
        <v>288.0</v>
      </c>
      <c r="B289" s="7">
        <v>49597.0</v>
      </c>
      <c r="C289" s="8">
        <v>66.1</v>
      </c>
      <c r="D289" s="8">
        <v>90.52</v>
      </c>
      <c r="E289" s="8">
        <v>81.6</v>
      </c>
      <c r="F289" s="8">
        <v>66.1</v>
      </c>
      <c r="G289" s="8">
        <v>90.52</v>
      </c>
      <c r="H289" s="8">
        <v>81.6</v>
      </c>
      <c r="I289" s="8">
        <v>17.0</v>
      </c>
      <c r="J289" s="8">
        <v>24.8</v>
      </c>
      <c r="K289" s="8">
        <v>76.9</v>
      </c>
      <c r="L289" s="9">
        <f t="shared" si="1"/>
        <v>149.2</v>
      </c>
      <c r="M289" s="9">
        <f t="shared" si="2"/>
        <v>100.890735</v>
      </c>
      <c r="N289" s="9">
        <f t="shared" si="3"/>
        <v>130</v>
      </c>
      <c r="O289" s="9">
        <f t="shared" si="4"/>
        <v>130.6</v>
      </c>
      <c r="P289" s="9">
        <f t="shared" si="6"/>
        <v>173.6</v>
      </c>
      <c r="Q289" s="9">
        <f t="shared" ref="Q289:R289" si="287">average(L283:L289)</f>
        <v>139.7714286</v>
      </c>
      <c r="R289" s="9">
        <f t="shared" si="287"/>
        <v>96.4534798</v>
      </c>
      <c r="S289" s="11">
        <v>56.0</v>
      </c>
      <c r="T289" s="11">
        <v>53.83</v>
      </c>
      <c r="U289" s="12">
        <v>4.66</v>
      </c>
      <c r="V289" s="12">
        <v>1474.3</v>
      </c>
      <c r="W289" s="12">
        <v>17.0</v>
      </c>
      <c r="X289" s="8">
        <v>18080.0</v>
      </c>
      <c r="Y289" s="8">
        <v>985.0</v>
      </c>
      <c r="Z289" s="8">
        <v>925.0</v>
      </c>
      <c r="AA289" s="8">
        <v>7.434</v>
      </c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 ht="15.75" customHeight="1">
      <c r="A290" s="6">
        <v>289.0</v>
      </c>
      <c r="B290" s="7">
        <v>49598.0</v>
      </c>
      <c r="C290" s="8">
        <v>67.0</v>
      </c>
      <c r="D290" s="8">
        <v>87.94</v>
      </c>
      <c r="E290" s="8">
        <v>85.22</v>
      </c>
      <c r="F290" s="8">
        <v>67.0</v>
      </c>
      <c r="G290" s="8">
        <v>87.94</v>
      </c>
      <c r="H290" s="8">
        <v>85.22</v>
      </c>
      <c r="I290" s="8">
        <v>14.0</v>
      </c>
      <c r="J290" s="8">
        <v>24.8</v>
      </c>
      <c r="K290" s="8">
        <v>76.9</v>
      </c>
      <c r="L290" s="9">
        <f t="shared" si="1"/>
        <v>148</v>
      </c>
      <c r="M290" s="9">
        <f t="shared" si="2"/>
        <v>103.0928751</v>
      </c>
      <c r="N290" s="9">
        <f t="shared" si="3"/>
        <v>149.2</v>
      </c>
      <c r="O290" s="9">
        <f t="shared" si="4"/>
        <v>130</v>
      </c>
      <c r="P290" s="9">
        <f t="shared" si="6"/>
        <v>131.4</v>
      </c>
      <c r="Q290" s="9">
        <f t="shared" ref="Q290:R290" si="288">average(L284:L290)</f>
        <v>136.1142857</v>
      </c>
      <c r="R290" s="9">
        <f t="shared" si="288"/>
        <v>96.9659407</v>
      </c>
      <c r="S290" s="11">
        <v>55.52</v>
      </c>
      <c r="T290" s="11">
        <v>54.0125</v>
      </c>
      <c r="U290" s="12">
        <v>3.91</v>
      </c>
      <c r="V290" s="12">
        <v>1474.3</v>
      </c>
      <c r="W290" s="12">
        <v>18.0</v>
      </c>
      <c r="X290" s="8">
        <v>18371.0</v>
      </c>
      <c r="Y290" s="8">
        <v>930.0</v>
      </c>
      <c r="Z290" s="8">
        <v>934.0</v>
      </c>
      <c r="AA290" s="8">
        <v>7.368</v>
      </c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 ht="15.75" customHeight="1">
      <c r="A291" s="6">
        <v>290.0</v>
      </c>
      <c r="B291" s="7">
        <v>49599.0</v>
      </c>
      <c r="C291" s="8">
        <v>65.3</v>
      </c>
      <c r="D291" s="8">
        <v>89.12</v>
      </c>
      <c r="E291" s="8">
        <v>82.18</v>
      </c>
      <c r="F291" s="8">
        <v>65.3</v>
      </c>
      <c r="G291" s="8">
        <v>89.12</v>
      </c>
      <c r="H291" s="8">
        <v>82.18</v>
      </c>
      <c r="I291" s="8">
        <v>11.0</v>
      </c>
      <c r="J291" s="8">
        <v>24.8</v>
      </c>
      <c r="K291" s="8">
        <v>76.9</v>
      </c>
      <c r="L291" s="9">
        <f t="shared" si="1"/>
        <v>141.6</v>
      </c>
      <c r="M291" s="9">
        <f t="shared" si="2"/>
        <v>97.7477257</v>
      </c>
      <c r="N291" s="9">
        <f t="shared" si="3"/>
        <v>148</v>
      </c>
      <c r="O291" s="9">
        <f t="shared" si="4"/>
        <v>149.2</v>
      </c>
      <c r="P291" s="9">
        <f t="shared" si="6"/>
        <v>133</v>
      </c>
      <c r="Q291" s="9">
        <f t="shared" ref="Q291:R291" si="289">average(L285:L291)</f>
        <v>137.5714286</v>
      </c>
      <c r="R291" s="9">
        <f t="shared" si="289"/>
        <v>97.41094654</v>
      </c>
      <c r="S291" s="11">
        <v>55.27</v>
      </c>
      <c r="T291" s="11">
        <v>53.6325</v>
      </c>
      <c r="U291" s="12">
        <v>3.51</v>
      </c>
      <c r="V291" s="12">
        <v>1363.7</v>
      </c>
      <c r="W291" s="12">
        <v>18.0</v>
      </c>
      <c r="X291" s="8">
        <v>18223.0</v>
      </c>
      <c r="Y291" s="8">
        <v>925.0</v>
      </c>
      <c r="Z291" s="8">
        <v>756.0</v>
      </c>
      <c r="AA291" s="8">
        <v>7.329</v>
      </c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 ht="15.75" customHeight="1">
      <c r="A292" s="6">
        <v>291.0</v>
      </c>
      <c r="B292" s="7">
        <v>49600.0</v>
      </c>
      <c r="C292" s="8">
        <v>69.3</v>
      </c>
      <c r="D292" s="8">
        <v>88.44</v>
      </c>
      <c r="E292" s="8">
        <v>79.93</v>
      </c>
      <c r="F292" s="8">
        <v>69.3</v>
      </c>
      <c r="G292" s="8">
        <v>88.44</v>
      </c>
      <c r="H292" s="8">
        <v>79.93</v>
      </c>
      <c r="I292" s="8">
        <v>0.0</v>
      </c>
      <c r="J292" s="8">
        <v>24.8</v>
      </c>
      <c r="K292" s="8">
        <v>76.9</v>
      </c>
      <c r="L292" s="9">
        <f t="shared" si="1"/>
        <v>138.6</v>
      </c>
      <c r="M292" s="9">
        <f t="shared" si="2"/>
        <v>97.97646751</v>
      </c>
      <c r="N292" s="9">
        <f t="shared" si="3"/>
        <v>141.6</v>
      </c>
      <c r="O292" s="9">
        <f t="shared" si="4"/>
        <v>148</v>
      </c>
      <c r="P292" s="9">
        <f t="shared" si="6"/>
        <v>130.6</v>
      </c>
      <c r="Q292" s="9">
        <f t="shared" ref="Q292:R292" si="290">average(L286:L292)</f>
        <v>138.3714286</v>
      </c>
      <c r="R292" s="9">
        <f t="shared" si="290"/>
        <v>98.25053696</v>
      </c>
      <c r="S292" s="11">
        <v>54.78</v>
      </c>
      <c r="T292" s="11">
        <v>53.43</v>
      </c>
      <c r="U292" s="12">
        <v>3.55</v>
      </c>
      <c r="V292" s="12">
        <v>1170.0</v>
      </c>
      <c r="W292" s="12">
        <v>19.0</v>
      </c>
      <c r="X292" s="8">
        <v>17272.0</v>
      </c>
      <c r="Y292" s="8">
        <v>900.0</v>
      </c>
      <c r="Z292" s="8">
        <v>890.0</v>
      </c>
      <c r="AA292" s="8">
        <v>7.052</v>
      </c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 ht="15.75" customHeight="1">
      <c r="A293" s="6">
        <v>292.0</v>
      </c>
      <c r="B293" s="7">
        <v>49601.0</v>
      </c>
      <c r="C293" s="8">
        <v>75.5</v>
      </c>
      <c r="D293" s="8">
        <v>91.27</v>
      </c>
      <c r="E293" s="8">
        <v>82.8</v>
      </c>
      <c r="F293" s="8">
        <v>75.5</v>
      </c>
      <c r="G293" s="8">
        <v>91.27</v>
      </c>
      <c r="H293" s="8">
        <v>82.8</v>
      </c>
      <c r="I293" s="8">
        <v>0.0</v>
      </c>
      <c r="J293" s="8">
        <v>24.8</v>
      </c>
      <c r="K293" s="8">
        <v>76.9</v>
      </c>
      <c r="L293" s="9">
        <f t="shared" si="1"/>
        <v>151</v>
      </c>
      <c r="M293" s="9">
        <f t="shared" si="2"/>
        <v>114.1130556</v>
      </c>
      <c r="N293" s="9">
        <f t="shared" si="3"/>
        <v>138.6</v>
      </c>
      <c r="O293" s="9">
        <f t="shared" si="4"/>
        <v>141.6</v>
      </c>
      <c r="P293" s="9">
        <f t="shared" si="6"/>
        <v>130.6</v>
      </c>
      <c r="Q293" s="9">
        <f t="shared" ref="Q293:R293" si="291">average(L287:L293)</f>
        <v>141.2857143</v>
      </c>
      <c r="R293" s="9">
        <f t="shared" si="291"/>
        <v>100.8745381</v>
      </c>
      <c r="S293" s="11">
        <v>54.62</v>
      </c>
      <c r="T293" s="11">
        <v>53.31999999999999</v>
      </c>
      <c r="U293" s="12">
        <v>4.08</v>
      </c>
      <c r="V293" s="12">
        <v>1031.7</v>
      </c>
      <c r="W293" s="12">
        <v>18.0</v>
      </c>
      <c r="X293" s="8">
        <v>17683.0</v>
      </c>
      <c r="Y293" s="8">
        <v>930.0</v>
      </c>
      <c r="Z293" s="8">
        <v>903.0</v>
      </c>
      <c r="AA293" s="8">
        <v>7.007</v>
      </c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 ht="15.75" customHeight="1">
      <c r="A294" s="6">
        <v>293.0</v>
      </c>
      <c r="B294" s="7">
        <v>49602.0</v>
      </c>
      <c r="C294" s="8">
        <v>66.8</v>
      </c>
      <c r="D294" s="8">
        <v>88.35</v>
      </c>
      <c r="E294" s="8">
        <v>79.62</v>
      </c>
      <c r="F294" s="8">
        <v>66.8</v>
      </c>
      <c r="G294" s="8">
        <v>88.35</v>
      </c>
      <c r="H294" s="8">
        <v>79.62</v>
      </c>
      <c r="I294" s="8">
        <v>0.0</v>
      </c>
      <c r="J294" s="8">
        <v>24.8</v>
      </c>
      <c r="K294" s="8">
        <v>76.9</v>
      </c>
      <c r="L294" s="9">
        <f t="shared" si="1"/>
        <v>133.6</v>
      </c>
      <c r="M294" s="9">
        <f t="shared" si="2"/>
        <v>93.97994472</v>
      </c>
      <c r="N294" s="9">
        <f t="shared" si="3"/>
        <v>151</v>
      </c>
      <c r="O294" s="9">
        <f t="shared" si="4"/>
        <v>138.6</v>
      </c>
      <c r="P294" s="9">
        <f t="shared" si="6"/>
        <v>130</v>
      </c>
      <c r="Q294" s="9">
        <f t="shared" ref="Q294:R294" si="292">average(L288:L294)</f>
        <v>141.7142857</v>
      </c>
      <c r="R294" s="9">
        <f t="shared" si="292"/>
        <v>100.6038814</v>
      </c>
      <c r="S294" s="11">
        <v>54.31</v>
      </c>
      <c r="T294" s="11">
        <v>53.262499999999996</v>
      </c>
      <c r="U294" s="12">
        <v>3.85</v>
      </c>
      <c r="V294" s="12">
        <v>1336.0</v>
      </c>
      <c r="W294" s="12">
        <v>17.0</v>
      </c>
      <c r="X294" s="8">
        <v>17971.0</v>
      </c>
      <c r="Y294" s="8">
        <v>990.0</v>
      </c>
      <c r="Z294" s="8">
        <v>958.0</v>
      </c>
      <c r="AA294" s="8">
        <v>7.024</v>
      </c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 ht="15.75" customHeight="1">
      <c r="A295" s="6">
        <v>294.0</v>
      </c>
      <c r="B295" s="7">
        <v>49603.0</v>
      </c>
      <c r="C295" s="8">
        <v>64.7</v>
      </c>
      <c r="D295" s="8">
        <v>89.83</v>
      </c>
      <c r="E295" s="8">
        <v>84.86</v>
      </c>
      <c r="F295" s="8">
        <v>64.7</v>
      </c>
      <c r="G295" s="8">
        <v>89.83</v>
      </c>
      <c r="H295" s="8">
        <v>84.86</v>
      </c>
      <c r="I295" s="8">
        <v>0.0</v>
      </c>
      <c r="J295" s="8">
        <v>24.8</v>
      </c>
      <c r="K295" s="8">
        <v>76.9</v>
      </c>
      <c r="L295" s="9">
        <f t="shared" si="1"/>
        <v>129.4</v>
      </c>
      <c r="M295" s="9">
        <f t="shared" si="2"/>
        <v>98.64128097</v>
      </c>
      <c r="N295" s="9">
        <f t="shared" si="3"/>
        <v>133.6</v>
      </c>
      <c r="O295" s="9">
        <f t="shared" si="4"/>
        <v>151</v>
      </c>
      <c r="P295" s="9">
        <f t="shared" si="6"/>
        <v>149.2</v>
      </c>
      <c r="Q295" s="9">
        <f t="shared" ref="Q295:R295" si="293">average(L289:L295)</f>
        <v>141.6285714</v>
      </c>
      <c r="R295" s="9">
        <f t="shared" si="293"/>
        <v>100.9202978</v>
      </c>
      <c r="S295" s="11">
        <v>54.54</v>
      </c>
      <c r="T295" s="11">
        <v>53.212500000000006</v>
      </c>
      <c r="U295" s="12">
        <v>4.36</v>
      </c>
      <c r="V295" s="12">
        <v>1668.0</v>
      </c>
      <c r="W295" s="12">
        <v>18.0</v>
      </c>
      <c r="X295" s="8">
        <v>17356.0</v>
      </c>
      <c r="Y295" s="8">
        <v>930.0</v>
      </c>
      <c r="Z295" s="8">
        <v>899.0</v>
      </c>
      <c r="AA295" s="8">
        <v>6.886</v>
      </c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 ht="15.75" customHeight="1">
      <c r="A296" s="6">
        <v>295.0</v>
      </c>
      <c r="B296" s="7">
        <v>49604.0</v>
      </c>
      <c r="C296" s="8">
        <v>65.6</v>
      </c>
      <c r="D296" s="8">
        <v>90.07</v>
      </c>
      <c r="E296" s="8">
        <v>80.87</v>
      </c>
      <c r="F296" s="8">
        <v>65.6</v>
      </c>
      <c r="G296" s="8">
        <v>90.07</v>
      </c>
      <c r="H296" s="8">
        <v>80.87</v>
      </c>
      <c r="I296" s="8">
        <v>0.0</v>
      </c>
      <c r="J296" s="8">
        <v>24.8</v>
      </c>
      <c r="K296" s="8">
        <v>76.9</v>
      </c>
      <c r="L296" s="9">
        <f t="shared" si="1"/>
        <v>131.2</v>
      </c>
      <c r="M296" s="9">
        <f t="shared" si="2"/>
        <v>95.56556701</v>
      </c>
      <c r="N296" s="9">
        <f t="shared" si="3"/>
        <v>129.4</v>
      </c>
      <c r="O296" s="9">
        <f t="shared" si="4"/>
        <v>133.6</v>
      </c>
      <c r="P296" s="9">
        <f t="shared" si="6"/>
        <v>148</v>
      </c>
      <c r="Q296" s="9">
        <f t="shared" ref="Q296:R296" si="294">average(L290:L296)</f>
        <v>139.0571429</v>
      </c>
      <c r="R296" s="9">
        <f t="shared" si="294"/>
        <v>100.1595595</v>
      </c>
      <c r="S296" s="11">
        <v>54.62</v>
      </c>
      <c r="T296" s="11">
        <v>53.2425</v>
      </c>
      <c r="U296" s="12">
        <v>4.48</v>
      </c>
      <c r="V296" s="12">
        <v>1419.0</v>
      </c>
      <c r="W296" s="12">
        <v>18.0</v>
      </c>
      <c r="X296" s="8">
        <v>17098.0</v>
      </c>
      <c r="Y296" s="8">
        <v>930.0</v>
      </c>
      <c r="Z296" s="8">
        <v>734.0</v>
      </c>
      <c r="AA296" s="8">
        <v>6.894</v>
      </c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 ht="15.75" customHeight="1">
      <c r="A297" s="6">
        <v>296.0</v>
      </c>
      <c r="B297" s="7">
        <v>49605.0</v>
      </c>
      <c r="C297" s="8">
        <v>64.8</v>
      </c>
      <c r="D297" s="8">
        <v>90.35</v>
      </c>
      <c r="E297" s="8">
        <v>79.93</v>
      </c>
      <c r="F297" s="8">
        <v>64.8</v>
      </c>
      <c r="G297" s="8">
        <v>90.35</v>
      </c>
      <c r="H297" s="8">
        <v>79.93</v>
      </c>
      <c r="I297" s="8">
        <v>42.0</v>
      </c>
      <c r="J297" s="8">
        <v>24.8</v>
      </c>
      <c r="K297" s="8">
        <v>76.9</v>
      </c>
      <c r="L297" s="9">
        <f t="shared" si="1"/>
        <v>171.6</v>
      </c>
      <c r="M297" s="9">
        <f t="shared" si="2"/>
        <v>101.6028185</v>
      </c>
      <c r="N297" s="9">
        <f t="shared" si="3"/>
        <v>131.2</v>
      </c>
      <c r="O297" s="9">
        <f t="shared" si="4"/>
        <v>129.4</v>
      </c>
      <c r="P297" s="9">
        <f t="shared" si="6"/>
        <v>141.6</v>
      </c>
      <c r="Q297" s="9">
        <f t="shared" ref="Q297:R297" si="295">average(L291:L297)</f>
        <v>142.4285714</v>
      </c>
      <c r="R297" s="9">
        <f t="shared" si="295"/>
        <v>99.94669428</v>
      </c>
      <c r="S297" s="11">
        <v>54.55</v>
      </c>
      <c r="T297" s="11">
        <v>53.1325</v>
      </c>
      <c r="U297" s="12">
        <v>4.15</v>
      </c>
      <c r="V297" s="12">
        <v>1391.3</v>
      </c>
      <c r="W297" s="12">
        <v>17.0</v>
      </c>
      <c r="X297" s="8">
        <v>17451.0</v>
      </c>
      <c r="Y297" s="8">
        <v>1008.0</v>
      </c>
      <c r="Z297" s="8">
        <v>823.0</v>
      </c>
      <c r="AA297" s="8">
        <v>6.904</v>
      </c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 ht="15.75" customHeight="1">
      <c r="A298" s="6">
        <v>297.0</v>
      </c>
      <c r="B298" s="7">
        <v>49606.0</v>
      </c>
      <c r="C298" s="8">
        <v>55.3</v>
      </c>
      <c r="D298" s="8">
        <v>91.71</v>
      </c>
      <c r="E298" s="8">
        <v>80.03</v>
      </c>
      <c r="F298" s="8">
        <v>55.3</v>
      </c>
      <c r="G298" s="8">
        <v>91.71</v>
      </c>
      <c r="H298" s="8">
        <v>80.03</v>
      </c>
      <c r="I298" s="8">
        <v>0.0</v>
      </c>
      <c r="J298" s="8">
        <v>24.8</v>
      </c>
      <c r="K298" s="8">
        <v>76.9</v>
      </c>
      <c r="L298" s="9">
        <f t="shared" si="1"/>
        <v>110.6</v>
      </c>
      <c r="M298" s="9">
        <f t="shared" si="2"/>
        <v>81.17543738</v>
      </c>
      <c r="N298" s="9">
        <f t="shared" si="3"/>
        <v>171.6</v>
      </c>
      <c r="O298" s="9">
        <f t="shared" si="4"/>
        <v>131.2</v>
      </c>
      <c r="P298" s="9">
        <f t="shared" si="6"/>
        <v>138.6</v>
      </c>
      <c r="Q298" s="9">
        <f t="shared" ref="Q298:R298" si="296">average(L292:L298)</f>
        <v>138</v>
      </c>
      <c r="R298" s="9">
        <f t="shared" si="296"/>
        <v>97.57922452</v>
      </c>
      <c r="S298" s="11">
        <v>54.57</v>
      </c>
      <c r="T298" s="11">
        <v>53.239999999999995</v>
      </c>
      <c r="U298" s="12">
        <v>3.89</v>
      </c>
      <c r="V298" s="12">
        <v>1529.7</v>
      </c>
      <c r="W298" s="12">
        <v>18.0</v>
      </c>
      <c r="X298" s="8">
        <v>17528.0</v>
      </c>
      <c r="Y298" s="8">
        <v>960.0</v>
      </c>
      <c r="Z298" s="8">
        <v>955.0</v>
      </c>
      <c r="AA298" s="8">
        <v>7.002</v>
      </c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 ht="15.75" customHeight="1">
      <c r="A299" s="6">
        <v>298.0</v>
      </c>
      <c r="B299" s="7">
        <v>49607.0</v>
      </c>
      <c r="C299" s="8">
        <v>75.0</v>
      </c>
      <c r="D299" s="8">
        <v>89.51</v>
      </c>
      <c r="E299" s="8">
        <v>77.76</v>
      </c>
      <c r="F299" s="8">
        <v>75.0</v>
      </c>
      <c r="G299" s="8">
        <v>89.51</v>
      </c>
      <c r="H299" s="8">
        <v>77.76</v>
      </c>
      <c r="I299" s="8">
        <v>0.0</v>
      </c>
      <c r="J299" s="8">
        <v>24.8</v>
      </c>
      <c r="K299" s="8">
        <v>76.9</v>
      </c>
      <c r="L299" s="9">
        <f t="shared" si="1"/>
        <v>150</v>
      </c>
      <c r="M299" s="9">
        <f t="shared" si="2"/>
        <v>104.404464</v>
      </c>
      <c r="N299" s="9">
        <f t="shared" si="3"/>
        <v>110.6</v>
      </c>
      <c r="O299" s="9">
        <f t="shared" si="4"/>
        <v>171.6</v>
      </c>
      <c r="P299" s="9">
        <f t="shared" si="6"/>
        <v>151</v>
      </c>
      <c r="Q299" s="9">
        <f t="shared" ref="Q299:R299" si="297">average(L293:L299)</f>
        <v>139.6285714</v>
      </c>
      <c r="R299" s="9">
        <f t="shared" si="297"/>
        <v>98.49750974</v>
      </c>
      <c r="S299" s="11">
        <v>54.56</v>
      </c>
      <c r="T299" s="11">
        <v>52.995000000000005</v>
      </c>
      <c r="U299" s="12">
        <v>4.06</v>
      </c>
      <c r="V299" s="12">
        <v>1391.3</v>
      </c>
      <c r="W299" s="12">
        <v>18.0</v>
      </c>
      <c r="X299" s="8">
        <v>17566.0</v>
      </c>
      <c r="Y299" s="8">
        <v>930.0</v>
      </c>
      <c r="Z299" s="8">
        <v>924.0</v>
      </c>
      <c r="AA299" s="8">
        <v>7.101</v>
      </c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 ht="15.75" customHeight="1">
      <c r="A300" s="6">
        <v>299.0</v>
      </c>
      <c r="B300" s="7">
        <v>49608.0</v>
      </c>
      <c r="C300" s="8">
        <v>72.6</v>
      </c>
      <c r="D300" s="8">
        <v>91.48</v>
      </c>
      <c r="E300" s="8">
        <v>78.31</v>
      </c>
      <c r="F300" s="8">
        <v>72.6</v>
      </c>
      <c r="G300" s="8">
        <v>91.48</v>
      </c>
      <c r="H300" s="8">
        <v>78.31</v>
      </c>
      <c r="I300" s="8">
        <v>0.0</v>
      </c>
      <c r="J300" s="8">
        <v>24.8</v>
      </c>
      <c r="K300" s="8">
        <v>76.9</v>
      </c>
      <c r="L300" s="9">
        <f t="shared" si="1"/>
        <v>145.2</v>
      </c>
      <c r="M300" s="9">
        <f t="shared" si="2"/>
        <v>104.0183586</v>
      </c>
      <c r="N300" s="9">
        <f t="shared" si="3"/>
        <v>150</v>
      </c>
      <c r="O300" s="9">
        <f t="shared" si="4"/>
        <v>110.6</v>
      </c>
      <c r="P300" s="9">
        <f t="shared" si="6"/>
        <v>133.6</v>
      </c>
      <c r="Q300" s="9">
        <f t="shared" ref="Q300:R300" si="298">average(L294:L300)</f>
        <v>138.8</v>
      </c>
      <c r="R300" s="9">
        <f t="shared" si="298"/>
        <v>97.05541016</v>
      </c>
      <c r="S300" s="11">
        <v>54.13</v>
      </c>
      <c r="T300" s="11">
        <v>52.915</v>
      </c>
      <c r="U300" s="12">
        <v>4.2</v>
      </c>
      <c r="V300" s="12">
        <v>1280.7</v>
      </c>
      <c r="W300" s="12">
        <v>18.0</v>
      </c>
      <c r="X300" s="8">
        <v>17489.0</v>
      </c>
      <c r="Y300" s="8">
        <v>930.0</v>
      </c>
      <c r="Z300" s="8">
        <v>938.0</v>
      </c>
      <c r="AA300" s="8">
        <v>7.51</v>
      </c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 ht="15.75" customHeight="1">
      <c r="A301" s="6">
        <v>300.0</v>
      </c>
      <c r="B301" s="7">
        <v>49609.0</v>
      </c>
      <c r="C301" s="8">
        <v>103.2</v>
      </c>
      <c r="D301" s="8">
        <v>90.66</v>
      </c>
      <c r="E301" s="8">
        <v>77.99</v>
      </c>
      <c r="F301" s="8">
        <v>103.2</v>
      </c>
      <c r="G301" s="8">
        <v>90.66</v>
      </c>
      <c r="H301" s="8">
        <v>77.99</v>
      </c>
      <c r="I301" s="8">
        <v>0.0</v>
      </c>
      <c r="J301" s="8">
        <v>24.8</v>
      </c>
      <c r="K301" s="8">
        <v>76.9</v>
      </c>
      <c r="L301" s="9">
        <f t="shared" si="1"/>
        <v>206.4</v>
      </c>
      <c r="M301" s="9">
        <f t="shared" si="2"/>
        <v>145.936635</v>
      </c>
      <c r="N301" s="9">
        <f t="shared" si="3"/>
        <v>145.2</v>
      </c>
      <c r="O301" s="9">
        <f t="shared" si="4"/>
        <v>150</v>
      </c>
      <c r="P301" s="9">
        <f t="shared" si="6"/>
        <v>129.4</v>
      </c>
      <c r="Q301" s="9">
        <f t="shared" ref="Q301:R301" si="299">average(L295:L301)</f>
        <v>149.2</v>
      </c>
      <c r="R301" s="9">
        <f t="shared" si="299"/>
        <v>104.4777945</v>
      </c>
      <c r="S301" s="11">
        <v>54.26</v>
      </c>
      <c r="T301" s="11">
        <v>53.16499999999999</v>
      </c>
      <c r="U301" s="12">
        <v>4.52</v>
      </c>
      <c r="V301" s="12">
        <v>1308.3</v>
      </c>
      <c r="W301" s="12">
        <v>18.0</v>
      </c>
      <c r="X301" s="8">
        <v>18711.0</v>
      </c>
      <c r="Y301" s="8">
        <v>960.0</v>
      </c>
      <c r="Z301" s="8">
        <v>984.0</v>
      </c>
      <c r="AA301" s="8">
        <v>8.009</v>
      </c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 ht="15.75" customHeight="1">
      <c r="A302" s="6">
        <v>301.0</v>
      </c>
      <c r="B302" s="7">
        <v>49610.0</v>
      </c>
      <c r="C302" s="8">
        <v>75.1</v>
      </c>
      <c r="D302" s="8">
        <v>90.14</v>
      </c>
      <c r="E302" s="8">
        <v>81.94</v>
      </c>
      <c r="F302" s="8">
        <v>75.1</v>
      </c>
      <c r="G302" s="8">
        <v>90.14</v>
      </c>
      <c r="H302" s="8">
        <v>81.94</v>
      </c>
      <c r="I302" s="8">
        <v>0.0</v>
      </c>
      <c r="J302" s="8">
        <v>24.8</v>
      </c>
      <c r="K302" s="8">
        <v>76.9</v>
      </c>
      <c r="L302" s="9">
        <f t="shared" si="1"/>
        <v>150.2</v>
      </c>
      <c r="M302" s="9">
        <f t="shared" si="2"/>
        <v>110.9387954</v>
      </c>
      <c r="N302" s="9">
        <f t="shared" si="3"/>
        <v>206.4</v>
      </c>
      <c r="O302" s="9">
        <f t="shared" si="4"/>
        <v>145.2</v>
      </c>
      <c r="P302" s="9">
        <f t="shared" si="6"/>
        <v>131.2</v>
      </c>
      <c r="Q302" s="9">
        <f t="shared" ref="Q302:R302" si="300">average(L296:L302)</f>
        <v>152.1714286</v>
      </c>
      <c r="R302" s="9">
        <f t="shared" si="300"/>
        <v>106.2345823</v>
      </c>
      <c r="S302" s="11">
        <v>54.59</v>
      </c>
      <c r="T302" s="11">
        <v>53.11</v>
      </c>
      <c r="U302" s="12">
        <v>4.34</v>
      </c>
      <c r="V302" s="12">
        <v>1640.3</v>
      </c>
      <c r="W302" s="12">
        <v>19.0</v>
      </c>
      <c r="X302" s="8">
        <v>19622.0</v>
      </c>
      <c r="Y302" s="8">
        <v>900.0</v>
      </c>
      <c r="Z302" s="8">
        <v>908.0</v>
      </c>
      <c r="AA302" s="8">
        <v>8.506</v>
      </c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 ht="15.75" customHeight="1">
      <c r="A303" s="6">
        <v>302.0</v>
      </c>
      <c r="B303" s="7">
        <v>49611.0</v>
      </c>
      <c r="C303" s="8">
        <v>52.3</v>
      </c>
      <c r="D303" s="8">
        <v>88.96</v>
      </c>
      <c r="E303" s="8">
        <v>80.26</v>
      </c>
      <c r="F303" s="8">
        <v>52.3</v>
      </c>
      <c r="G303" s="8">
        <v>88.96</v>
      </c>
      <c r="H303" s="8">
        <v>80.26</v>
      </c>
      <c r="I303" s="8">
        <v>0.0</v>
      </c>
      <c r="J303" s="8">
        <v>24.8</v>
      </c>
      <c r="K303" s="8">
        <v>76.9</v>
      </c>
      <c r="L303" s="9">
        <f t="shared" si="1"/>
        <v>104.6</v>
      </c>
      <c r="M303" s="9">
        <f t="shared" si="2"/>
        <v>74.68366362</v>
      </c>
      <c r="N303" s="9">
        <f t="shared" si="3"/>
        <v>150.2</v>
      </c>
      <c r="O303" s="9">
        <f t="shared" si="4"/>
        <v>206.4</v>
      </c>
      <c r="P303" s="9">
        <f t="shared" si="6"/>
        <v>171.6</v>
      </c>
      <c r="Q303" s="9">
        <f t="shared" ref="Q303:R303" si="301">average(L297:L303)</f>
        <v>148.3714286</v>
      </c>
      <c r="R303" s="9">
        <f t="shared" si="301"/>
        <v>103.2514532</v>
      </c>
      <c r="S303" s="11">
        <v>54.63</v>
      </c>
      <c r="T303" s="11">
        <v>52.4575</v>
      </c>
      <c r="U303" s="12">
        <v>4.28</v>
      </c>
      <c r="V303" s="12">
        <v>1529.7</v>
      </c>
      <c r="W303" s="12">
        <v>18.0</v>
      </c>
      <c r="X303" s="8">
        <v>17916.0</v>
      </c>
      <c r="Y303" s="8">
        <v>930.0</v>
      </c>
      <c r="Z303" s="8">
        <v>842.0</v>
      </c>
      <c r="AA303" s="8">
        <v>7.523</v>
      </c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 ht="15.75" customHeight="1">
      <c r="A304" s="6">
        <v>303.0</v>
      </c>
      <c r="B304" s="7">
        <v>49612.0</v>
      </c>
      <c r="C304" s="8">
        <v>64.0</v>
      </c>
      <c r="D304" s="8">
        <v>90.19</v>
      </c>
      <c r="E304" s="8">
        <v>83.49</v>
      </c>
      <c r="F304" s="8">
        <v>64.0</v>
      </c>
      <c r="G304" s="8">
        <v>90.19</v>
      </c>
      <c r="H304" s="8">
        <v>83.49</v>
      </c>
      <c r="I304" s="8">
        <v>50.0</v>
      </c>
      <c r="J304" s="8">
        <v>24.8</v>
      </c>
      <c r="K304" s="8">
        <v>76.9</v>
      </c>
      <c r="L304" s="9">
        <f t="shared" si="1"/>
        <v>178</v>
      </c>
      <c r="M304" s="9">
        <f t="shared" si="2"/>
        <v>105.9191277</v>
      </c>
      <c r="N304" s="9">
        <f t="shared" si="3"/>
        <v>104.6</v>
      </c>
      <c r="O304" s="9">
        <f t="shared" si="4"/>
        <v>150.2</v>
      </c>
      <c r="P304" s="9">
        <f t="shared" si="6"/>
        <v>110.6</v>
      </c>
      <c r="Q304" s="9">
        <f t="shared" ref="Q304:R304" si="302">average(L298:L304)</f>
        <v>149.2857143</v>
      </c>
      <c r="R304" s="9">
        <f t="shared" si="302"/>
        <v>103.8680688</v>
      </c>
      <c r="S304" s="11">
        <v>54.7</v>
      </c>
      <c r="T304" s="11">
        <v>52.52499999999999</v>
      </c>
      <c r="U304" s="12">
        <v>5.5</v>
      </c>
      <c r="V304" s="12">
        <v>1529.7</v>
      </c>
      <c r="W304" s="12">
        <v>16.0</v>
      </c>
      <c r="X304" s="8">
        <v>17291.0</v>
      </c>
      <c r="Y304" s="8">
        <v>1060.0</v>
      </c>
      <c r="Z304" s="8">
        <v>908.0</v>
      </c>
      <c r="AA304" s="8">
        <v>6.961</v>
      </c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 ht="15.75" customHeight="1">
      <c r="A305" s="6">
        <v>304.0</v>
      </c>
      <c r="B305" s="7">
        <v>49613.0</v>
      </c>
      <c r="C305" s="8">
        <v>75.0</v>
      </c>
      <c r="D305" s="8">
        <v>90.4</v>
      </c>
      <c r="E305" s="8">
        <v>81.08</v>
      </c>
      <c r="F305" s="8">
        <v>75.0</v>
      </c>
      <c r="G305" s="8">
        <v>90.4</v>
      </c>
      <c r="H305" s="8">
        <v>81.08</v>
      </c>
      <c r="I305" s="8">
        <v>0.0</v>
      </c>
      <c r="J305" s="8">
        <v>24.8</v>
      </c>
      <c r="K305" s="8">
        <v>76.9</v>
      </c>
      <c r="L305" s="9">
        <f t="shared" si="1"/>
        <v>150</v>
      </c>
      <c r="M305" s="9">
        <f t="shared" si="2"/>
        <v>109.94448</v>
      </c>
      <c r="N305" s="9">
        <f t="shared" si="3"/>
        <v>178</v>
      </c>
      <c r="O305" s="9">
        <f t="shared" si="4"/>
        <v>104.6</v>
      </c>
      <c r="P305" s="9">
        <f t="shared" si="6"/>
        <v>150</v>
      </c>
      <c r="Q305" s="9">
        <f t="shared" ref="Q305:R305" si="303">average(L299:L305)</f>
        <v>154.9142857</v>
      </c>
      <c r="R305" s="9">
        <f t="shared" si="303"/>
        <v>107.977932</v>
      </c>
      <c r="S305" s="11">
        <v>54.17</v>
      </c>
      <c r="T305" s="11">
        <v>52.36</v>
      </c>
      <c r="U305" s="12">
        <v>3.81</v>
      </c>
      <c r="V305" s="12">
        <v>1612.7</v>
      </c>
      <c r="W305" s="12">
        <v>19.0</v>
      </c>
      <c r="X305" s="8">
        <v>17850.0</v>
      </c>
      <c r="Y305" s="8">
        <v>900.0</v>
      </c>
      <c r="Z305" s="8">
        <v>1001.0</v>
      </c>
      <c r="AA305" s="8">
        <v>7.079</v>
      </c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 ht="15.75" customHeight="1">
      <c r="A306" s="6">
        <v>305.0</v>
      </c>
      <c r="B306" s="7">
        <v>49614.0</v>
      </c>
      <c r="C306" s="8">
        <v>75.2</v>
      </c>
      <c r="D306" s="8">
        <v>89.55</v>
      </c>
      <c r="E306" s="8">
        <v>82.02</v>
      </c>
      <c r="F306" s="8">
        <v>75.2</v>
      </c>
      <c r="G306" s="8">
        <v>89.55</v>
      </c>
      <c r="H306" s="8">
        <v>82.02</v>
      </c>
      <c r="I306" s="8">
        <v>0.0</v>
      </c>
      <c r="J306" s="8">
        <v>24.8</v>
      </c>
      <c r="K306" s="8">
        <v>76.9</v>
      </c>
      <c r="L306" s="9">
        <f t="shared" si="1"/>
        <v>150.4</v>
      </c>
      <c r="M306" s="9">
        <f t="shared" si="2"/>
        <v>110.4671606</v>
      </c>
      <c r="N306" s="9">
        <f t="shared" si="3"/>
        <v>150</v>
      </c>
      <c r="O306" s="9">
        <f t="shared" si="4"/>
        <v>178</v>
      </c>
      <c r="P306" s="9">
        <f t="shared" si="6"/>
        <v>145.2</v>
      </c>
      <c r="Q306" s="9">
        <f t="shared" ref="Q306:R306" si="304">average(L300:L306)</f>
        <v>154.9714286</v>
      </c>
      <c r="R306" s="9">
        <f t="shared" si="304"/>
        <v>108.8440316</v>
      </c>
      <c r="S306" s="11">
        <v>54.37</v>
      </c>
      <c r="T306" s="11">
        <v>52.245</v>
      </c>
      <c r="U306" s="12">
        <v>4.7</v>
      </c>
      <c r="V306" s="12">
        <v>1336.0</v>
      </c>
      <c r="W306" s="12">
        <v>16.0</v>
      </c>
      <c r="X306" s="8">
        <v>19200.0</v>
      </c>
      <c r="Y306" s="8">
        <v>1050.0</v>
      </c>
      <c r="Z306" s="8">
        <v>928.0</v>
      </c>
      <c r="AA306" s="8">
        <v>7.281</v>
      </c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 ht="15.75" customHeight="1">
      <c r="A307" s="6">
        <v>306.0</v>
      </c>
      <c r="B307" s="7">
        <v>49615.0</v>
      </c>
      <c r="C307" s="8">
        <v>75.5</v>
      </c>
      <c r="D307" s="8">
        <v>90.06</v>
      </c>
      <c r="E307" s="8">
        <v>76.59</v>
      </c>
      <c r="F307" s="8">
        <v>75.5</v>
      </c>
      <c r="G307" s="8">
        <v>90.06</v>
      </c>
      <c r="H307" s="8">
        <v>76.59</v>
      </c>
      <c r="I307" s="8">
        <v>0.0</v>
      </c>
      <c r="J307" s="8">
        <v>24.8</v>
      </c>
      <c r="K307" s="8">
        <v>76.9</v>
      </c>
      <c r="L307" s="9">
        <f t="shared" si="1"/>
        <v>151</v>
      </c>
      <c r="M307" s="9">
        <f t="shared" si="2"/>
        <v>104.1552005</v>
      </c>
      <c r="N307" s="9">
        <f t="shared" si="3"/>
        <v>150.4</v>
      </c>
      <c r="O307" s="9">
        <f t="shared" si="4"/>
        <v>150</v>
      </c>
      <c r="P307" s="9">
        <f t="shared" si="6"/>
        <v>206.4</v>
      </c>
      <c r="Q307" s="9">
        <f t="shared" ref="Q307:R307" si="305">average(L301:L307)</f>
        <v>155.8</v>
      </c>
      <c r="R307" s="9">
        <f t="shared" si="305"/>
        <v>108.8635804</v>
      </c>
      <c r="S307" s="11">
        <v>54.54</v>
      </c>
      <c r="T307" s="11">
        <v>52.147499999999994</v>
      </c>
      <c r="U307" s="12">
        <v>4.33</v>
      </c>
      <c r="V307" s="12">
        <v>1474.3</v>
      </c>
      <c r="W307" s="12">
        <v>19.0</v>
      </c>
      <c r="X307" s="8">
        <v>17898.0</v>
      </c>
      <c r="Y307" s="8">
        <v>900.0</v>
      </c>
      <c r="Z307" s="8">
        <v>1124.0</v>
      </c>
      <c r="AA307" s="8">
        <v>7.223</v>
      </c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 ht="15.75" customHeight="1">
      <c r="A308" s="6">
        <v>307.0</v>
      </c>
      <c r="B308" s="7">
        <v>49616.0</v>
      </c>
      <c r="C308" s="8">
        <v>74.0</v>
      </c>
      <c r="D308" s="8">
        <v>88.51</v>
      </c>
      <c r="E308" s="8">
        <v>80.82</v>
      </c>
      <c r="F308" s="8">
        <v>74.0</v>
      </c>
      <c r="G308" s="8">
        <v>88.51</v>
      </c>
      <c r="H308" s="8">
        <v>80.82</v>
      </c>
      <c r="I308" s="8">
        <v>0.0</v>
      </c>
      <c r="J308" s="8">
        <v>24.8</v>
      </c>
      <c r="K308" s="8">
        <v>76.9</v>
      </c>
      <c r="L308" s="9">
        <f t="shared" si="1"/>
        <v>148</v>
      </c>
      <c r="M308" s="9">
        <f t="shared" si="2"/>
        <v>105.8699974</v>
      </c>
      <c r="N308" s="9">
        <f t="shared" si="3"/>
        <v>151</v>
      </c>
      <c r="O308" s="9">
        <f t="shared" si="4"/>
        <v>150.4</v>
      </c>
      <c r="P308" s="9">
        <f t="shared" si="6"/>
        <v>150.2</v>
      </c>
      <c r="Q308" s="9">
        <f t="shared" ref="Q308:R308" si="306">average(L302:L308)</f>
        <v>147.4571429</v>
      </c>
      <c r="R308" s="9">
        <f t="shared" si="306"/>
        <v>103.139775</v>
      </c>
      <c r="S308" s="11">
        <v>54.12</v>
      </c>
      <c r="T308" s="11">
        <v>51.535000000000004</v>
      </c>
      <c r="U308" s="12">
        <v>4.5</v>
      </c>
      <c r="V308" s="12">
        <v>1668.0</v>
      </c>
      <c r="W308" s="12">
        <v>18.0</v>
      </c>
      <c r="X308" s="8">
        <v>19321.0</v>
      </c>
      <c r="Y308" s="8">
        <v>950.0</v>
      </c>
      <c r="Z308" s="8">
        <v>1144.0</v>
      </c>
      <c r="AA308" s="8">
        <v>7.503</v>
      </c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 ht="15.75" customHeight="1">
      <c r="A309" s="6">
        <v>308.0</v>
      </c>
      <c r="B309" s="7">
        <v>49617.0</v>
      </c>
      <c r="C309" s="8">
        <v>76.5</v>
      </c>
      <c r="D309" s="8">
        <v>89.78</v>
      </c>
      <c r="E309" s="8">
        <v>83.41</v>
      </c>
      <c r="F309" s="8">
        <v>76.5</v>
      </c>
      <c r="G309" s="8">
        <v>89.78</v>
      </c>
      <c r="H309" s="8">
        <v>83.41</v>
      </c>
      <c r="I309" s="8">
        <v>0.0</v>
      </c>
      <c r="J309" s="8">
        <v>24.8</v>
      </c>
      <c r="K309" s="8">
        <v>76.9</v>
      </c>
      <c r="L309" s="9">
        <f t="shared" si="1"/>
        <v>153</v>
      </c>
      <c r="M309" s="9">
        <f t="shared" si="2"/>
        <v>114.5748119</v>
      </c>
      <c r="N309" s="9">
        <f t="shared" si="3"/>
        <v>148</v>
      </c>
      <c r="O309" s="9">
        <f t="shared" si="4"/>
        <v>151</v>
      </c>
      <c r="P309" s="9">
        <f t="shared" si="6"/>
        <v>104.6</v>
      </c>
      <c r="Q309" s="9">
        <f t="shared" ref="Q309:R309" si="307">average(L303:L309)</f>
        <v>147.8571429</v>
      </c>
      <c r="R309" s="9">
        <f t="shared" si="307"/>
        <v>103.659206</v>
      </c>
      <c r="S309" s="11">
        <v>54.08</v>
      </c>
      <c r="T309" s="11">
        <v>52.1775</v>
      </c>
      <c r="U309" s="12">
        <v>5.08</v>
      </c>
      <c r="V309" s="12">
        <v>1585.0</v>
      </c>
      <c r="W309" s="12">
        <v>17.0</v>
      </c>
      <c r="X309" s="8">
        <v>19523.0</v>
      </c>
      <c r="Y309" s="8">
        <v>1020.0</v>
      </c>
      <c r="Z309" s="8">
        <v>988.0</v>
      </c>
      <c r="AA309" s="8">
        <v>7.565</v>
      </c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 ht="15.75" customHeight="1">
      <c r="A310" s="6">
        <v>309.0</v>
      </c>
      <c r="B310" s="7">
        <v>49618.0</v>
      </c>
      <c r="C310" s="8">
        <v>75.2</v>
      </c>
      <c r="D310" s="8">
        <v>88.71</v>
      </c>
      <c r="E310" s="8">
        <v>82.02</v>
      </c>
      <c r="F310" s="8">
        <v>75.2</v>
      </c>
      <c r="G310" s="8">
        <v>88.71</v>
      </c>
      <c r="H310" s="8">
        <v>82.02</v>
      </c>
      <c r="I310" s="8">
        <v>0.0</v>
      </c>
      <c r="J310" s="8">
        <v>24.8</v>
      </c>
      <c r="K310" s="8">
        <v>76.9</v>
      </c>
      <c r="L310" s="9">
        <f t="shared" si="1"/>
        <v>150.4</v>
      </c>
      <c r="M310" s="9">
        <f t="shared" si="2"/>
        <v>109.4309528</v>
      </c>
      <c r="N310" s="9">
        <f t="shared" si="3"/>
        <v>153</v>
      </c>
      <c r="O310" s="9">
        <f t="shared" si="4"/>
        <v>148</v>
      </c>
      <c r="P310" s="9">
        <f t="shared" si="6"/>
        <v>178</v>
      </c>
      <c r="Q310" s="9">
        <f t="shared" ref="Q310:R310" si="308">average(L304:L310)</f>
        <v>154.4</v>
      </c>
      <c r="R310" s="9">
        <f t="shared" si="308"/>
        <v>108.6231044</v>
      </c>
      <c r="S310" s="11">
        <v>55.04</v>
      </c>
      <c r="T310" s="11">
        <v>52.0475</v>
      </c>
      <c r="U310" s="12">
        <v>4.54</v>
      </c>
      <c r="V310" s="12">
        <v>1585.0</v>
      </c>
      <c r="W310" s="12">
        <v>18.0</v>
      </c>
      <c r="X310" s="8">
        <v>18889.0</v>
      </c>
      <c r="Y310" s="8">
        <v>930.0</v>
      </c>
      <c r="Z310" s="8">
        <v>1128.0</v>
      </c>
      <c r="AA310" s="8">
        <v>7.345</v>
      </c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 ht="15.75" customHeight="1">
      <c r="A311" s="6">
        <v>310.0</v>
      </c>
      <c r="B311" s="7">
        <v>49619.0</v>
      </c>
      <c r="C311" s="8">
        <v>76.1</v>
      </c>
      <c r="D311" s="8">
        <v>88.41</v>
      </c>
      <c r="E311" s="8">
        <v>79.74</v>
      </c>
      <c r="F311" s="8">
        <v>76.1</v>
      </c>
      <c r="G311" s="8">
        <v>88.41</v>
      </c>
      <c r="H311" s="8">
        <v>79.74</v>
      </c>
      <c r="I311" s="8">
        <v>56.0</v>
      </c>
      <c r="J311" s="8">
        <v>24.8</v>
      </c>
      <c r="K311" s="8">
        <v>76.9</v>
      </c>
      <c r="L311" s="9">
        <f t="shared" si="1"/>
        <v>208.2</v>
      </c>
      <c r="M311" s="9">
        <f t="shared" si="2"/>
        <v>117.9780319</v>
      </c>
      <c r="N311" s="9">
        <f t="shared" si="3"/>
        <v>150.4</v>
      </c>
      <c r="O311" s="9">
        <f t="shared" si="4"/>
        <v>153</v>
      </c>
      <c r="P311" s="9">
        <f t="shared" si="6"/>
        <v>150</v>
      </c>
      <c r="Q311" s="9">
        <f t="shared" ref="Q311:R311" si="309">average(L305:L311)</f>
        <v>158.7142857</v>
      </c>
      <c r="R311" s="9">
        <f t="shared" si="309"/>
        <v>110.345805</v>
      </c>
      <c r="S311" s="11">
        <v>53.8</v>
      </c>
      <c r="T311" s="11">
        <v>51.975</v>
      </c>
      <c r="U311" s="12">
        <v>5.55</v>
      </c>
      <c r="V311" s="12">
        <v>1723.3</v>
      </c>
      <c r="W311" s="12">
        <v>16.0</v>
      </c>
      <c r="X311" s="8">
        <v>19549.0</v>
      </c>
      <c r="Y311" s="8">
        <v>1070.0</v>
      </c>
      <c r="Z311" s="8">
        <v>1089.0</v>
      </c>
      <c r="AA311" s="8">
        <v>7.486</v>
      </c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 ht="15.75" customHeight="1">
      <c r="A312" s="6">
        <v>311.0</v>
      </c>
      <c r="B312" s="7">
        <v>49620.0</v>
      </c>
      <c r="C312" s="8">
        <v>76.2</v>
      </c>
      <c r="D312" s="8">
        <v>90.17</v>
      </c>
      <c r="E312" s="8">
        <v>80.93</v>
      </c>
      <c r="F312" s="8">
        <v>76.2</v>
      </c>
      <c r="G312" s="8">
        <v>90.17</v>
      </c>
      <c r="H312" s="8">
        <v>80.93</v>
      </c>
      <c r="I312" s="8">
        <v>0.0</v>
      </c>
      <c r="J312" s="8">
        <v>24.8</v>
      </c>
      <c r="K312" s="8">
        <v>76.9</v>
      </c>
      <c r="L312" s="9">
        <f t="shared" si="1"/>
        <v>152.4</v>
      </c>
      <c r="M312" s="9">
        <f t="shared" si="2"/>
        <v>111.2132614</v>
      </c>
      <c r="N312" s="9">
        <f t="shared" si="3"/>
        <v>208.2</v>
      </c>
      <c r="O312" s="9">
        <f t="shared" si="4"/>
        <v>150.4</v>
      </c>
      <c r="P312" s="9">
        <f t="shared" si="6"/>
        <v>150.4</v>
      </c>
      <c r="Q312" s="9">
        <f t="shared" ref="Q312:R312" si="310">average(L306:L312)</f>
        <v>159.0571429</v>
      </c>
      <c r="R312" s="9">
        <f t="shared" si="310"/>
        <v>110.5270595</v>
      </c>
      <c r="S312" s="11">
        <v>53.64</v>
      </c>
      <c r="T312" s="11">
        <v>51.5775</v>
      </c>
      <c r="U312" s="12">
        <v>4.41</v>
      </c>
      <c r="V312" s="12">
        <v>1778.7</v>
      </c>
      <c r="W312" s="12">
        <v>17.0</v>
      </c>
      <c r="X312" s="8">
        <v>19500.0</v>
      </c>
      <c r="Y312" s="8">
        <v>990.0</v>
      </c>
      <c r="Z312" s="8">
        <v>986.0</v>
      </c>
      <c r="AA312" s="8">
        <v>7.338</v>
      </c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 ht="15.75" customHeight="1">
      <c r="A313" s="6">
        <v>312.0</v>
      </c>
      <c r="B313" s="7">
        <v>49621.0</v>
      </c>
      <c r="C313" s="8">
        <v>77.8</v>
      </c>
      <c r="D313" s="8">
        <v>88.79</v>
      </c>
      <c r="E313" s="8">
        <v>78.44</v>
      </c>
      <c r="F313" s="8">
        <v>77.8</v>
      </c>
      <c r="G313" s="8">
        <v>88.79</v>
      </c>
      <c r="H313" s="8">
        <v>78.44</v>
      </c>
      <c r="I313" s="8">
        <v>0.0</v>
      </c>
      <c r="J313" s="8">
        <v>24.8</v>
      </c>
      <c r="K313" s="8">
        <v>76.9</v>
      </c>
      <c r="L313" s="9">
        <f t="shared" si="1"/>
        <v>155.6</v>
      </c>
      <c r="M313" s="9">
        <f t="shared" si="2"/>
        <v>108.3705391</v>
      </c>
      <c r="N313" s="9">
        <f t="shared" si="3"/>
        <v>152.4</v>
      </c>
      <c r="O313" s="9">
        <f t="shared" si="4"/>
        <v>208.2</v>
      </c>
      <c r="P313" s="9">
        <f t="shared" si="6"/>
        <v>151</v>
      </c>
      <c r="Q313" s="9">
        <f t="shared" ref="Q313:R313" si="311">average(L307:L313)</f>
        <v>159.8</v>
      </c>
      <c r="R313" s="9">
        <f t="shared" si="311"/>
        <v>110.2275422</v>
      </c>
      <c r="S313" s="11">
        <v>53.72</v>
      </c>
      <c r="T313" s="11">
        <v>51.49</v>
      </c>
      <c r="U313" s="12">
        <v>4.31</v>
      </c>
      <c r="V313" s="12">
        <v>1474.3</v>
      </c>
      <c r="W313" s="12">
        <v>16.0</v>
      </c>
      <c r="X313" s="8">
        <v>20564.0</v>
      </c>
      <c r="Y313" s="8">
        <v>1043.0</v>
      </c>
      <c r="Z313" s="8">
        <v>935.0</v>
      </c>
      <c r="AA313" s="8">
        <v>7.658</v>
      </c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 ht="15.75" customHeight="1">
      <c r="A314" s="6">
        <v>313.0</v>
      </c>
      <c r="B314" s="7">
        <v>49622.0</v>
      </c>
      <c r="C314" s="8">
        <v>76.6</v>
      </c>
      <c r="D314" s="8">
        <v>89.68</v>
      </c>
      <c r="E314" s="8">
        <v>83.92</v>
      </c>
      <c r="F314" s="8">
        <v>76.6</v>
      </c>
      <c r="G314" s="8">
        <v>89.68</v>
      </c>
      <c r="H314" s="8">
        <v>83.92</v>
      </c>
      <c r="I314" s="8">
        <v>0.0</v>
      </c>
      <c r="J314" s="8">
        <v>24.8</v>
      </c>
      <c r="K314" s="8">
        <v>76.9</v>
      </c>
      <c r="L314" s="9">
        <f t="shared" si="1"/>
        <v>153.2</v>
      </c>
      <c r="M314" s="9">
        <f t="shared" si="2"/>
        <v>115.2974866</v>
      </c>
      <c r="N314" s="9">
        <f t="shared" si="3"/>
        <v>155.6</v>
      </c>
      <c r="O314" s="9">
        <f t="shared" si="4"/>
        <v>152.4</v>
      </c>
      <c r="P314" s="9">
        <f t="shared" si="6"/>
        <v>148</v>
      </c>
      <c r="Q314" s="9">
        <f t="shared" ref="Q314:R314" si="312">average(L308:L314)</f>
        <v>160.1142857</v>
      </c>
      <c r="R314" s="9">
        <f t="shared" si="312"/>
        <v>111.8192973</v>
      </c>
      <c r="S314" s="11">
        <v>54.85</v>
      </c>
      <c r="T314" s="11">
        <v>51.715</v>
      </c>
      <c r="U314" s="12">
        <v>5.66</v>
      </c>
      <c r="V314" s="12">
        <v>1280.7</v>
      </c>
      <c r="W314" s="12">
        <v>17.0</v>
      </c>
      <c r="X314" s="8">
        <v>20553.0</v>
      </c>
      <c r="Y314" s="8">
        <v>1021.0</v>
      </c>
      <c r="Z314" s="8">
        <v>992.0</v>
      </c>
      <c r="AA314" s="8">
        <v>7.704</v>
      </c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 ht="15.75" customHeight="1">
      <c r="A315" s="6">
        <v>314.0</v>
      </c>
      <c r="B315" s="7">
        <v>49623.0</v>
      </c>
      <c r="C315" s="8">
        <v>77.3</v>
      </c>
      <c r="D315" s="8">
        <v>87.77</v>
      </c>
      <c r="E315" s="8">
        <v>81.42</v>
      </c>
      <c r="F315" s="8">
        <v>77.3</v>
      </c>
      <c r="G315" s="8">
        <v>87.77</v>
      </c>
      <c r="H315" s="8">
        <v>81.42</v>
      </c>
      <c r="I315" s="8">
        <v>0.0</v>
      </c>
      <c r="J315" s="8">
        <v>24.8</v>
      </c>
      <c r="K315" s="8">
        <v>76.9</v>
      </c>
      <c r="L315" s="9">
        <f t="shared" si="1"/>
        <v>154.6</v>
      </c>
      <c r="M315" s="9">
        <f t="shared" si="2"/>
        <v>110.4807684</v>
      </c>
      <c r="N315" s="9">
        <f t="shared" si="3"/>
        <v>153.2</v>
      </c>
      <c r="O315" s="9">
        <f t="shared" si="4"/>
        <v>155.6</v>
      </c>
      <c r="P315" s="9">
        <f t="shared" si="6"/>
        <v>153</v>
      </c>
      <c r="Q315" s="9">
        <f t="shared" ref="Q315:R315" si="313">average(L309:L315)</f>
        <v>161.0571429</v>
      </c>
      <c r="R315" s="9">
        <f t="shared" si="313"/>
        <v>112.4779789</v>
      </c>
      <c r="S315" s="11">
        <v>55.03</v>
      </c>
      <c r="T315" s="11">
        <v>51.675</v>
      </c>
      <c r="U315" s="12">
        <v>6.54</v>
      </c>
      <c r="V315" s="12">
        <v>1585.0</v>
      </c>
      <c r="W315" s="12">
        <v>17.0</v>
      </c>
      <c r="X315" s="8">
        <v>19213.0</v>
      </c>
      <c r="Y315" s="8">
        <v>970.0</v>
      </c>
      <c r="Z315" s="8">
        <v>1008.0</v>
      </c>
      <c r="AA315" s="8">
        <v>7.632</v>
      </c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 ht="15.75" customHeight="1">
      <c r="A316" s="6">
        <v>315.0</v>
      </c>
      <c r="B316" s="7">
        <v>49624.0</v>
      </c>
      <c r="C316" s="8">
        <v>67.7</v>
      </c>
      <c r="D316" s="8">
        <v>88.88</v>
      </c>
      <c r="E316" s="8">
        <v>82.51</v>
      </c>
      <c r="F316" s="8">
        <v>67.7</v>
      </c>
      <c r="G316" s="8">
        <v>88.88</v>
      </c>
      <c r="H316" s="8">
        <v>82.51</v>
      </c>
      <c r="I316" s="8">
        <v>0.0</v>
      </c>
      <c r="J316" s="8">
        <v>24.8</v>
      </c>
      <c r="K316" s="8">
        <v>76.9</v>
      </c>
      <c r="L316" s="9">
        <f t="shared" si="1"/>
        <v>135.4</v>
      </c>
      <c r="M316" s="9">
        <f t="shared" si="2"/>
        <v>99.29543835</v>
      </c>
      <c r="N316" s="9">
        <f t="shared" si="3"/>
        <v>154.6</v>
      </c>
      <c r="O316" s="9">
        <f t="shared" si="4"/>
        <v>153.2</v>
      </c>
      <c r="P316" s="9">
        <f t="shared" si="6"/>
        <v>150.4</v>
      </c>
      <c r="Q316" s="9">
        <f t="shared" ref="Q316:R316" si="314">average(L310:L316)</f>
        <v>158.5428571</v>
      </c>
      <c r="R316" s="9">
        <f t="shared" si="314"/>
        <v>110.2952112</v>
      </c>
      <c r="S316" s="11">
        <v>55.56</v>
      </c>
      <c r="T316" s="11">
        <v>51.8775</v>
      </c>
      <c r="U316" s="12">
        <v>6.2</v>
      </c>
      <c r="V316" s="12">
        <v>1834.0</v>
      </c>
      <c r="W316" s="12">
        <v>18.0</v>
      </c>
      <c r="X316" s="8">
        <v>19508.0</v>
      </c>
      <c r="Y316" s="8">
        <v>960.0</v>
      </c>
      <c r="Z316" s="8">
        <v>1057.0</v>
      </c>
      <c r="AA316" s="8">
        <v>7.339</v>
      </c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 ht="15.75" customHeight="1">
      <c r="A317" s="6">
        <v>316.0</v>
      </c>
      <c r="B317" s="7">
        <v>49625.0</v>
      </c>
      <c r="C317" s="8">
        <v>63.0</v>
      </c>
      <c r="D317" s="8">
        <v>87.7</v>
      </c>
      <c r="E317" s="8">
        <v>80.06</v>
      </c>
      <c r="F317" s="8">
        <v>63.0</v>
      </c>
      <c r="G317" s="8">
        <v>87.7</v>
      </c>
      <c r="H317" s="8">
        <v>80.06</v>
      </c>
      <c r="I317" s="8">
        <v>0.0</v>
      </c>
      <c r="J317" s="8">
        <v>24.8</v>
      </c>
      <c r="K317" s="8">
        <v>76.9</v>
      </c>
      <c r="L317" s="9">
        <f t="shared" si="1"/>
        <v>126</v>
      </c>
      <c r="M317" s="9">
        <f t="shared" si="2"/>
        <v>88.4679012</v>
      </c>
      <c r="N317" s="9">
        <f t="shared" si="3"/>
        <v>135.4</v>
      </c>
      <c r="O317" s="9">
        <f t="shared" si="4"/>
        <v>154.6</v>
      </c>
      <c r="P317" s="9">
        <f t="shared" si="6"/>
        <v>208.2</v>
      </c>
      <c r="Q317" s="9">
        <f t="shared" ref="Q317:R317" si="315">average(L311:L317)</f>
        <v>155.0571429</v>
      </c>
      <c r="R317" s="9">
        <f t="shared" si="315"/>
        <v>107.3004896</v>
      </c>
      <c r="S317" s="11">
        <v>55.68</v>
      </c>
      <c r="T317" s="11">
        <v>52.059999999999995</v>
      </c>
      <c r="U317" s="12">
        <v>5.76</v>
      </c>
      <c r="V317" s="12">
        <v>1668.0</v>
      </c>
      <c r="W317" s="12">
        <v>16.0</v>
      </c>
      <c r="X317" s="8">
        <v>19246.0</v>
      </c>
      <c r="Y317" s="8">
        <v>1029.0</v>
      </c>
      <c r="Z317" s="8">
        <v>1018.0</v>
      </c>
      <c r="AA317" s="8">
        <v>7.198</v>
      </c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 ht="15.75" customHeight="1">
      <c r="A318" s="6">
        <v>317.0</v>
      </c>
      <c r="B318" s="7">
        <v>49626.0</v>
      </c>
      <c r="C318" s="8">
        <v>65.0</v>
      </c>
      <c r="D318" s="8">
        <v>90.39</v>
      </c>
      <c r="E318" s="8">
        <v>80.84</v>
      </c>
      <c r="F318" s="8">
        <v>65.0</v>
      </c>
      <c r="G318" s="8">
        <v>90.39</v>
      </c>
      <c r="H318" s="8">
        <v>80.84</v>
      </c>
      <c r="I318" s="8">
        <v>50.0</v>
      </c>
      <c r="J318" s="8">
        <v>24.8</v>
      </c>
      <c r="K318" s="8">
        <v>76.9</v>
      </c>
      <c r="L318" s="9">
        <f t="shared" si="1"/>
        <v>180</v>
      </c>
      <c r="M318" s="9">
        <f t="shared" si="2"/>
        <v>104.5282588</v>
      </c>
      <c r="N318" s="9">
        <f t="shared" si="3"/>
        <v>126</v>
      </c>
      <c r="O318" s="9">
        <f t="shared" si="4"/>
        <v>135.4</v>
      </c>
      <c r="P318" s="9">
        <f t="shared" si="6"/>
        <v>152.4</v>
      </c>
      <c r="Q318" s="9">
        <f t="shared" ref="Q318:R318" si="316">average(L312:L318)</f>
        <v>151.0285714</v>
      </c>
      <c r="R318" s="9">
        <f t="shared" si="316"/>
        <v>105.3790934</v>
      </c>
      <c r="S318" s="11">
        <v>56.03</v>
      </c>
      <c r="T318" s="11">
        <v>52.315</v>
      </c>
      <c r="U318" s="12">
        <v>6.53</v>
      </c>
      <c r="V318" s="12"/>
      <c r="W318" s="12">
        <v>16.0</v>
      </c>
      <c r="X318" s="8">
        <v>19761.0</v>
      </c>
      <c r="Y318" s="8">
        <v>1060.0</v>
      </c>
      <c r="Z318" s="8">
        <v>1113.0</v>
      </c>
      <c r="AA318" s="8">
        <v>7.341</v>
      </c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 ht="15.75" customHeight="1">
      <c r="A319" s="6">
        <v>318.0</v>
      </c>
      <c r="B319" s="7">
        <v>49627.0</v>
      </c>
      <c r="C319" s="8">
        <v>57.9</v>
      </c>
      <c r="D319" s="8">
        <v>89.72</v>
      </c>
      <c r="E319" s="8">
        <v>86.43</v>
      </c>
      <c r="F319" s="8">
        <v>57.9</v>
      </c>
      <c r="G319" s="8">
        <v>89.72</v>
      </c>
      <c r="H319" s="8">
        <v>86.43</v>
      </c>
      <c r="I319" s="8">
        <v>0.0</v>
      </c>
      <c r="J319" s="8">
        <v>24.8</v>
      </c>
      <c r="K319" s="8">
        <v>76.9</v>
      </c>
      <c r="L319" s="9">
        <f t="shared" si="1"/>
        <v>115.8</v>
      </c>
      <c r="M319" s="9">
        <f t="shared" si="2"/>
        <v>89.79710537</v>
      </c>
      <c r="N319" s="9">
        <f t="shared" si="3"/>
        <v>180</v>
      </c>
      <c r="O319" s="9">
        <f t="shared" si="4"/>
        <v>126</v>
      </c>
      <c r="P319" s="9">
        <f t="shared" si="6"/>
        <v>155.6</v>
      </c>
      <c r="Q319" s="9">
        <f t="shared" ref="Q319:R319" si="317">average(L313:L319)</f>
        <v>145.8</v>
      </c>
      <c r="R319" s="9">
        <f t="shared" si="317"/>
        <v>102.3196425</v>
      </c>
      <c r="S319" s="11">
        <v>56.46</v>
      </c>
      <c r="T319" s="11">
        <v>52.339999999999996</v>
      </c>
      <c r="U319" s="12">
        <v>5.56</v>
      </c>
      <c r="V319" s="12"/>
      <c r="W319" s="12">
        <v>17.0</v>
      </c>
      <c r="X319" s="8">
        <v>19499.0</v>
      </c>
      <c r="Y319" s="8">
        <v>970.0</v>
      </c>
      <c r="Z319" s="8">
        <v>973.0</v>
      </c>
      <c r="AA319" s="8">
        <v>7.385</v>
      </c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 ht="15.75" customHeight="1">
      <c r="A320" s="6">
        <v>319.0</v>
      </c>
      <c r="B320" s="7">
        <v>49628.0</v>
      </c>
      <c r="C320" s="8">
        <v>60.2</v>
      </c>
      <c r="D320" s="8">
        <v>90.11</v>
      </c>
      <c r="E320" s="8">
        <v>83.11</v>
      </c>
      <c r="F320" s="8">
        <v>60.2</v>
      </c>
      <c r="G320" s="8">
        <v>90.11</v>
      </c>
      <c r="H320" s="8">
        <v>83.11</v>
      </c>
      <c r="I320" s="8">
        <v>0.0</v>
      </c>
      <c r="J320" s="8">
        <v>24.8</v>
      </c>
      <c r="K320" s="8">
        <v>76.9</v>
      </c>
      <c r="L320" s="9">
        <f t="shared" si="1"/>
        <v>120.4</v>
      </c>
      <c r="M320" s="9">
        <f t="shared" si="2"/>
        <v>90.16806688</v>
      </c>
      <c r="N320" s="9">
        <f t="shared" si="3"/>
        <v>115.8</v>
      </c>
      <c r="O320" s="9">
        <f t="shared" si="4"/>
        <v>180</v>
      </c>
      <c r="P320" s="9">
        <f t="shared" si="6"/>
        <v>153.2</v>
      </c>
      <c r="Q320" s="9">
        <f t="shared" ref="Q320:R320" si="318">average(L314:L320)</f>
        <v>140.7714286</v>
      </c>
      <c r="R320" s="9">
        <f t="shared" si="318"/>
        <v>99.71928937</v>
      </c>
      <c r="S320" s="11">
        <v>56.7</v>
      </c>
      <c r="T320" s="11">
        <v>52.699999999999996</v>
      </c>
      <c r="U320" s="12">
        <v>4.37</v>
      </c>
      <c r="V320" s="12"/>
      <c r="W320" s="12">
        <v>18.0</v>
      </c>
      <c r="X320" s="8">
        <v>18341.0</v>
      </c>
      <c r="Y320" s="8">
        <v>960.0</v>
      </c>
      <c r="Z320" s="8">
        <v>934.0</v>
      </c>
      <c r="AA320" s="8">
        <v>7.069</v>
      </c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 ht="15.75" customHeight="1">
      <c r="A321" s="6">
        <v>320.0</v>
      </c>
      <c r="B321" s="7">
        <v>49629.0</v>
      </c>
      <c r="C321" s="8">
        <v>57.6</v>
      </c>
      <c r="D321" s="8">
        <v>92.26</v>
      </c>
      <c r="E321" s="8">
        <v>86.77</v>
      </c>
      <c r="F321" s="8">
        <v>57.6</v>
      </c>
      <c r="G321" s="8">
        <v>92.26</v>
      </c>
      <c r="H321" s="8">
        <v>86.77</v>
      </c>
      <c r="I321" s="8">
        <v>0.0</v>
      </c>
      <c r="J321" s="8">
        <v>24.8</v>
      </c>
      <c r="K321" s="8">
        <v>76.9</v>
      </c>
      <c r="L321" s="9">
        <f t="shared" si="1"/>
        <v>115.2</v>
      </c>
      <c r="M321" s="9">
        <f t="shared" si="2"/>
        <v>92.2222103</v>
      </c>
      <c r="N321" s="9">
        <f t="shared" si="3"/>
        <v>120.4</v>
      </c>
      <c r="O321" s="9">
        <f t="shared" si="4"/>
        <v>115.8</v>
      </c>
      <c r="P321" s="9">
        <f t="shared" si="6"/>
        <v>154.6</v>
      </c>
      <c r="Q321" s="9">
        <f t="shared" ref="Q321:R321" si="319">average(L315:L321)</f>
        <v>135.3428571</v>
      </c>
      <c r="R321" s="9">
        <f t="shared" si="319"/>
        <v>96.42282132</v>
      </c>
      <c r="S321" s="11">
        <v>54.77</v>
      </c>
      <c r="T321" s="11">
        <v>52.2975</v>
      </c>
      <c r="U321" s="12">
        <v>4.0</v>
      </c>
      <c r="V321" s="12"/>
      <c r="W321" s="12">
        <v>18.0</v>
      </c>
      <c r="X321" s="8">
        <v>16427.0</v>
      </c>
      <c r="Y321" s="8">
        <v>945.0</v>
      </c>
      <c r="Z321" s="8">
        <v>1061.0</v>
      </c>
      <c r="AA321" s="8">
        <v>6.356</v>
      </c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 ht="15.75" customHeight="1">
      <c r="A322" s="6">
        <v>321.0</v>
      </c>
      <c r="B322" s="7">
        <v>49630.0</v>
      </c>
      <c r="C322" s="8">
        <v>68.2</v>
      </c>
      <c r="D322" s="8">
        <v>92.0</v>
      </c>
      <c r="E322" s="8">
        <v>80.7</v>
      </c>
      <c r="F322" s="8">
        <v>68.2</v>
      </c>
      <c r="G322" s="8">
        <v>92.0</v>
      </c>
      <c r="H322" s="8">
        <v>80.7</v>
      </c>
      <c r="I322" s="8">
        <v>0.0</v>
      </c>
      <c r="J322" s="8">
        <v>24.8</v>
      </c>
      <c r="K322" s="8">
        <v>76.9</v>
      </c>
      <c r="L322" s="9">
        <f t="shared" si="1"/>
        <v>136.4</v>
      </c>
      <c r="M322" s="9">
        <f t="shared" si="2"/>
        <v>101.268816</v>
      </c>
      <c r="N322" s="9">
        <f t="shared" si="3"/>
        <v>115.2</v>
      </c>
      <c r="O322" s="9">
        <f t="shared" si="4"/>
        <v>120.4</v>
      </c>
      <c r="P322" s="9">
        <f t="shared" si="6"/>
        <v>135.4</v>
      </c>
      <c r="Q322" s="9">
        <f t="shared" ref="Q322:R322" si="320">average(L316:L322)</f>
        <v>132.7428571</v>
      </c>
      <c r="R322" s="9">
        <f t="shared" si="320"/>
        <v>95.10682813</v>
      </c>
      <c r="S322" s="11">
        <v>55.31</v>
      </c>
      <c r="T322" s="11">
        <v>52.14</v>
      </c>
      <c r="U322" s="12">
        <v>4.15</v>
      </c>
      <c r="V322" s="12"/>
      <c r="W322" s="12">
        <v>17.0</v>
      </c>
      <c r="X322" s="8">
        <v>15918.0</v>
      </c>
      <c r="Y322" s="8">
        <v>970.0</v>
      </c>
      <c r="Z322" s="8">
        <v>899.0</v>
      </c>
      <c r="AA322" s="8">
        <v>6.106</v>
      </c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 ht="15.75" customHeight="1">
      <c r="A323" s="6">
        <v>322.0</v>
      </c>
      <c r="B323" s="7">
        <v>49631.0</v>
      </c>
      <c r="C323" s="8">
        <v>71.8</v>
      </c>
      <c r="D323" s="8">
        <v>92.0</v>
      </c>
      <c r="E323" s="8">
        <v>80.7</v>
      </c>
      <c r="F323" s="8">
        <v>71.8</v>
      </c>
      <c r="G323" s="8">
        <v>92.0</v>
      </c>
      <c r="H323" s="8">
        <v>80.7</v>
      </c>
      <c r="I323" s="8">
        <v>0.0</v>
      </c>
      <c r="J323" s="8">
        <v>24.8</v>
      </c>
      <c r="K323" s="8">
        <v>76.9</v>
      </c>
      <c r="L323" s="9">
        <f t="shared" si="1"/>
        <v>143.6</v>
      </c>
      <c r="M323" s="9">
        <f t="shared" si="2"/>
        <v>106.614384</v>
      </c>
      <c r="N323" s="9">
        <f t="shared" si="3"/>
        <v>136.4</v>
      </c>
      <c r="O323" s="9">
        <f t="shared" si="4"/>
        <v>115.2</v>
      </c>
      <c r="P323" s="9">
        <f t="shared" si="6"/>
        <v>126</v>
      </c>
      <c r="Q323" s="9">
        <f t="shared" ref="Q323:R323" si="321">average(L317:L323)</f>
        <v>133.9142857</v>
      </c>
      <c r="R323" s="9">
        <f t="shared" si="321"/>
        <v>96.15239179</v>
      </c>
      <c r="S323" s="11">
        <v>55.91</v>
      </c>
      <c r="T323" s="11">
        <v>52.1325</v>
      </c>
      <c r="U323" s="12">
        <v>3.51</v>
      </c>
      <c r="V323" s="12"/>
      <c r="W323" s="12">
        <v>18.0</v>
      </c>
      <c r="X323" s="8">
        <v>15420.0</v>
      </c>
      <c r="Y323" s="8">
        <v>920.0</v>
      </c>
      <c r="Z323" s="8">
        <v>984.0</v>
      </c>
      <c r="AA323" s="8">
        <v>5.765</v>
      </c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 ht="15.75" customHeight="1">
      <c r="A324" s="6">
        <v>323.0</v>
      </c>
      <c r="B324" s="7">
        <v>49632.0</v>
      </c>
      <c r="C324" s="8">
        <v>81.6</v>
      </c>
      <c r="D324" s="8">
        <v>89.6</v>
      </c>
      <c r="E324" s="8">
        <v>79.1</v>
      </c>
      <c r="F324" s="8">
        <v>81.6</v>
      </c>
      <c r="G324" s="8">
        <v>89.6</v>
      </c>
      <c r="H324" s="8">
        <v>79.1</v>
      </c>
      <c r="I324" s="8">
        <v>0.0</v>
      </c>
      <c r="J324" s="8">
        <v>24.8</v>
      </c>
      <c r="K324" s="8">
        <v>76.9</v>
      </c>
      <c r="L324" s="9">
        <f t="shared" si="1"/>
        <v>163.2</v>
      </c>
      <c r="M324" s="9">
        <f t="shared" si="2"/>
        <v>115.6657152</v>
      </c>
      <c r="N324" s="9">
        <f t="shared" si="3"/>
        <v>143.6</v>
      </c>
      <c r="O324" s="9">
        <f t="shared" si="4"/>
        <v>136.4</v>
      </c>
      <c r="P324" s="9">
        <f t="shared" si="6"/>
        <v>180</v>
      </c>
      <c r="Q324" s="9">
        <f t="shared" ref="Q324:R324" si="322">average(L318:L324)</f>
        <v>139.2285714</v>
      </c>
      <c r="R324" s="9">
        <f t="shared" si="322"/>
        <v>100.0377938</v>
      </c>
      <c r="S324" s="11">
        <v>55.77</v>
      </c>
      <c r="T324" s="11">
        <v>52.4325</v>
      </c>
      <c r="U324" s="12">
        <v>4.11</v>
      </c>
      <c r="V324" s="12"/>
      <c r="W324" s="12">
        <v>22.0</v>
      </c>
      <c r="X324" s="8">
        <v>16701.0</v>
      </c>
      <c r="Y324" s="8">
        <v>955.0</v>
      </c>
      <c r="Z324" s="8">
        <v>852.0</v>
      </c>
      <c r="AA324" s="8">
        <v>6.27</v>
      </c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 ht="15.75" customHeight="1">
      <c r="A325" s="6">
        <v>324.0</v>
      </c>
      <c r="B325" s="7">
        <v>49633.0</v>
      </c>
      <c r="C325" s="8">
        <v>80.5</v>
      </c>
      <c r="D325" s="8">
        <v>89.6</v>
      </c>
      <c r="E325" s="8">
        <v>79.1</v>
      </c>
      <c r="F325" s="8">
        <v>80.5</v>
      </c>
      <c r="G325" s="8">
        <v>89.6</v>
      </c>
      <c r="H325" s="8">
        <v>79.1</v>
      </c>
      <c r="I325" s="8">
        <v>50.0</v>
      </c>
      <c r="J325" s="8">
        <v>24.8</v>
      </c>
      <c r="K325" s="8">
        <v>76.9</v>
      </c>
      <c r="L325" s="9">
        <f t="shared" si="1"/>
        <v>211</v>
      </c>
      <c r="M325" s="9">
        <f t="shared" si="2"/>
        <v>123.642096</v>
      </c>
      <c r="N325" s="9">
        <f t="shared" si="3"/>
        <v>163.2</v>
      </c>
      <c r="O325" s="9">
        <f t="shared" si="4"/>
        <v>143.6</v>
      </c>
      <c r="P325" s="9">
        <f t="shared" si="6"/>
        <v>115.8</v>
      </c>
      <c r="Q325" s="9">
        <f t="shared" ref="Q325:R325" si="323">average(L319:L325)</f>
        <v>143.6571429</v>
      </c>
      <c r="R325" s="9">
        <f t="shared" si="323"/>
        <v>102.768342</v>
      </c>
      <c r="S325" s="11">
        <v>55.72</v>
      </c>
      <c r="T325" s="11">
        <v>51.9175</v>
      </c>
      <c r="U325" s="12">
        <v>3.8</v>
      </c>
      <c r="V325" s="12"/>
      <c r="W325" s="12">
        <v>23.0</v>
      </c>
      <c r="X325" s="8">
        <v>17413.0</v>
      </c>
      <c r="Y325" s="8">
        <v>1007.0</v>
      </c>
      <c r="Z325" s="8">
        <v>915.0</v>
      </c>
      <c r="AA325" s="8">
        <v>6.604</v>
      </c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 ht="15.75" customHeight="1">
      <c r="A326" s="6">
        <v>325.0</v>
      </c>
      <c r="B326" s="7">
        <v>49634.0</v>
      </c>
      <c r="C326" s="8">
        <v>80.8</v>
      </c>
      <c r="D326" s="8">
        <v>91.29</v>
      </c>
      <c r="E326" s="8">
        <v>80.25</v>
      </c>
      <c r="F326" s="8">
        <v>80.8</v>
      </c>
      <c r="G326" s="8">
        <v>91.29</v>
      </c>
      <c r="H326" s="8">
        <v>80.25</v>
      </c>
      <c r="I326" s="8">
        <v>20.0</v>
      </c>
      <c r="J326" s="8">
        <v>24.8</v>
      </c>
      <c r="K326" s="8">
        <v>76.9</v>
      </c>
      <c r="L326" s="9">
        <f t="shared" si="1"/>
        <v>181.6</v>
      </c>
      <c r="M326" s="9">
        <f t="shared" si="2"/>
        <v>122.2027636</v>
      </c>
      <c r="N326" s="9">
        <f t="shared" si="3"/>
        <v>211</v>
      </c>
      <c r="O326" s="9">
        <f t="shared" si="4"/>
        <v>163.2</v>
      </c>
      <c r="P326" s="9">
        <f t="shared" si="6"/>
        <v>120.4</v>
      </c>
      <c r="Q326" s="9">
        <f t="shared" ref="Q326:R326" si="324">average(L320:L326)</f>
        <v>153.0571429</v>
      </c>
      <c r="R326" s="9">
        <f t="shared" si="324"/>
        <v>107.3977217</v>
      </c>
      <c r="S326" s="11">
        <v>55.71</v>
      </c>
      <c r="T326" s="11">
        <v>51.870000000000005</v>
      </c>
      <c r="U326" s="12">
        <v>4.41</v>
      </c>
      <c r="V326" s="12"/>
      <c r="W326" s="12">
        <v>17.0</v>
      </c>
      <c r="X326" s="8">
        <v>18905.0</v>
      </c>
      <c r="Y326" s="8">
        <v>977.0</v>
      </c>
      <c r="Z326" s="8">
        <v>964.0</v>
      </c>
      <c r="AA326" s="8">
        <v>7.149</v>
      </c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 ht="15.75" customHeight="1">
      <c r="A327" s="6">
        <v>326.0</v>
      </c>
      <c r="B327" s="7">
        <v>49635.0</v>
      </c>
      <c r="C327" s="8">
        <v>85.4</v>
      </c>
      <c r="D327" s="8">
        <v>91.29</v>
      </c>
      <c r="E327" s="8">
        <v>80.25</v>
      </c>
      <c r="F327" s="8">
        <v>85.4</v>
      </c>
      <c r="G327" s="8">
        <v>91.29</v>
      </c>
      <c r="H327" s="8">
        <v>80.25</v>
      </c>
      <c r="I327" s="8">
        <v>20.0</v>
      </c>
      <c r="J327" s="8">
        <v>24.8</v>
      </c>
      <c r="K327" s="8">
        <v>76.9</v>
      </c>
      <c r="L327" s="9">
        <f t="shared" si="1"/>
        <v>190.8</v>
      </c>
      <c r="M327" s="9">
        <f t="shared" si="2"/>
        <v>128.9427043</v>
      </c>
      <c r="N327" s="9">
        <f t="shared" si="3"/>
        <v>181.6</v>
      </c>
      <c r="O327" s="9">
        <f t="shared" si="4"/>
        <v>211</v>
      </c>
      <c r="P327" s="9">
        <f t="shared" si="6"/>
        <v>115.2</v>
      </c>
      <c r="Q327" s="9">
        <f t="shared" ref="Q327:R327" si="325">average(L321:L327)</f>
        <v>163.1142857</v>
      </c>
      <c r="R327" s="9">
        <f t="shared" si="325"/>
        <v>112.9369556</v>
      </c>
      <c r="S327" s="11">
        <v>55.71</v>
      </c>
      <c r="T327" s="11">
        <v>52.165</v>
      </c>
      <c r="U327" s="12">
        <v>4.28</v>
      </c>
      <c r="V327" s="12"/>
      <c r="W327" s="12">
        <v>21.0</v>
      </c>
      <c r="X327" s="8">
        <v>20302.0</v>
      </c>
      <c r="Y327" s="8">
        <v>1062.0</v>
      </c>
      <c r="Z327" s="8">
        <v>976.0</v>
      </c>
      <c r="AA327" s="8">
        <v>7.536</v>
      </c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 ht="15.75" customHeight="1">
      <c r="A328" s="6">
        <v>327.0</v>
      </c>
      <c r="B328" s="7">
        <v>49636.0</v>
      </c>
      <c r="C328" s="8">
        <v>85.7</v>
      </c>
      <c r="D328" s="8">
        <v>90.11</v>
      </c>
      <c r="E328" s="8">
        <v>80.25</v>
      </c>
      <c r="F328" s="8">
        <v>85.7</v>
      </c>
      <c r="G328" s="8">
        <v>90.11</v>
      </c>
      <c r="H328" s="8">
        <v>80.25</v>
      </c>
      <c r="I328" s="8">
        <v>20.0</v>
      </c>
      <c r="J328" s="8">
        <v>24.8</v>
      </c>
      <c r="K328" s="8">
        <v>76.9</v>
      </c>
      <c r="L328" s="9">
        <f t="shared" si="1"/>
        <v>191.4</v>
      </c>
      <c r="M328" s="9">
        <f t="shared" si="2"/>
        <v>127.7591934</v>
      </c>
      <c r="N328" s="9">
        <f t="shared" si="3"/>
        <v>190.8</v>
      </c>
      <c r="O328" s="9">
        <f t="shared" si="4"/>
        <v>181.6</v>
      </c>
      <c r="P328" s="9">
        <f t="shared" si="6"/>
        <v>136.4</v>
      </c>
      <c r="Q328" s="9">
        <f t="shared" ref="Q328:R328" si="326">average(L322:L328)</f>
        <v>174</v>
      </c>
      <c r="R328" s="9">
        <f t="shared" si="326"/>
        <v>118.0136675</v>
      </c>
      <c r="S328" s="11">
        <v>54.14</v>
      </c>
      <c r="T328" s="11">
        <v>51.4125</v>
      </c>
      <c r="U328" s="12">
        <v>4.5</v>
      </c>
      <c r="V328" s="12"/>
      <c r="W328" s="12">
        <v>23.0</v>
      </c>
      <c r="X328" s="8">
        <v>20790.0</v>
      </c>
      <c r="Y328" s="8">
        <v>1040.0</v>
      </c>
      <c r="Z328" s="8">
        <v>1062.0</v>
      </c>
      <c r="AA328" s="8">
        <v>7.617</v>
      </c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 ht="15.75" customHeight="1">
      <c r="A329" s="6">
        <v>328.0</v>
      </c>
      <c r="B329" s="7">
        <v>49637.0</v>
      </c>
      <c r="C329" s="8">
        <v>95.5</v>
      </c>
      <c r="D329" s="8">
        <v>90.11</v>
      </c>
      <c r="E329" s="8">
        <v>80.25</v>
      </c>
      <c r="F329" s="8">
        <v>95.5</v>
      </c>
      <c r="G329" s="8">
        <v>90.11</v>
      </c>
      <c r="H329" s="8">
        <v>80.25</v>
      </c>
      <c r="I329" s="8">
        <v>20.0</v>
      </c>
      <c r="J329" s="8">
        <v>24.8</v>
      </c>
      <c r="K329" s="8">
        <v>76.9</v>
      </c>
      <c r="L329" s="9">
        <f t="shared" si="1"/>
        <v>211</v>
      </c>
      <c r="M329" s="9">
        <f t="shared" si="2"/>
        <v>141.9325953</v>
      </c>
      <c r="N329" s="9">
        <f t="shared" si="3"/>
        <v>191.4</v>
      </c>
      <c r="O329" s="9">
        <f t="shared" si="4"/>
        <v>190.8</v>
      </c>
      <c r="P329" s="9">
        <f t="shared" si="6"/>
        <v>143.6</v>
      </c>
      <c r="Q329" s="9">
        <f t="shared" ref="Q329:R329" si="327">average(L323:L329)</f>
        <v>184.6571429</v>
      </c>
      <c r="R329" s="9">
        <f t="shared" si="327"/>
        <v>123.8227788</v>
      </c>
      <c r="S329" s="11">
        <v>53.69</v>
      </c>
      <c r="T329" s="11">
        <v>51.425000000000004</v>
      </c>
      <c r="U329" s="12">
        <v>4.95</v>
      </c>
      <c r="V329" s="12"/>
      <c r="W329" s="12">
        <v>17.0</v>
      </c>
      <c r="X329" s="8">
        <v>21643.0</v>
      </c>
      <c r="Y329" s="8">
        <v>1018.0</v>
      </c>
      <c r="Z329" s="8">
        <v>852.0</v>
      </c>
      <c r="AA329" s="8">
        <v>8.269</v>
      </c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 ht="15.75" customHeight="1">
      <c r="A330" s="6">
        <v>329.0</v>
      </c>
      <c r="B330" s="7">
        <v>49638.0</v>
      </c>
      <c r="C330" s="8">
        <v>95.2</v>
      </c>
      <c r="D330" s="8">
        <v>90.11</v>
      </c>
      <c r="E330" s="8">
        <v>80.25</v>
      </c>
      <c r="F330" s="8">
        <v>95.2</v>
      </c>
      <c r="G330" s="8">
        <v>90.11</v>
      </c>
      <c r="H330" s="8">
        <v>80.25</v>
      </c>
      <c r="I330" s="8">
        <v>20.0</v>
      </c>
      <c r="J330" s="8">
        <v>24.8</v>
      </c>
      <c r="K330" s="8">
        <v>76.9</v>
      </c>
      <c r="L330" s="9">
        <f t="shared" si="1"/>
        <v>210.4</v>
      </c>
      <c r="M330" s="9">
        <f t="shared" si="2"/>
        <v>141.4987156</v>
      </c>
      <c r="N330" s="9">
        <f t="shared" si="3"/>
        <v>211</v>
      </c>
      <c r="O330" s="9">
        <f t="shared" si="4"/>
        <v>191.4</v>
      </c>
      <c r="P330" s="9">
        <f t="shared" si="6"/>
        <v>163.2</v>
      </c>
      <c r="Q330" s="9">
        <f t="shared" ref="Q330:R330" si="328">average(L324:L330)</f>
        <v>194.2</v>
      </c>
      <c r="R330" s="9">
        <f t="shared" si="328"/>
        <v>128.8062548</v>
      </c>
      <c r="S330" s="11">
        <v>52.8</v>
      </c>
      <c r="T330" s="11">
        <v>51.175</v>
      </c>
      <c r="U330" s="12">
        <v>5.18</v>
      </c>
      <c r="V330" s="12"/>
      <c r="W330" s="12">
        <v>15.0</v>
      </c>
      <c r="X330" s="8">
        <v>20882.0</v>
      </c>
      <c r="Y330" s="8">
        <v>1112.0</v>
      </c>
      <c r="Z330" s="8">
        <v>862.0</v>
      </c>
      <c r="AA330" s="8">
        <v>8.274</v>
      </c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 ht="15.75" customHeight="1">
      <c r="A331" s="6">
        <v>330.0</v>
      </c>
      <c r="B331" s="7">
        <v>49639.0</v>
      </c>
      <c r="C331" s="8">
        <v>63.7</v>
      </c>
      <c r="D331" s="8">
        <v>90.11</v>
      </c>
      <c r="E331" s="8">
        <v>80.25</v>
      </c>
      <c r="F331" s="8">
        <v>63.7</v>
      </c>
      <c r="G331" s="8">
        <v>90.11</v>
      </c>
      <c r="H331" s="8">
        <v>80.25</v>
      </c>
      <c r="I331" s="8">
        <v>20.0</v>
      </c>
      <c r="J331" s="8">
        <v>24.8</v>
      </c>
      <c r="K331" s="8">
        <v>76.9</v>
      </c>
      <c r="L331" s="9">
        <f t="shared" si="1"/>
        <v>147.4</v>
      </c>
      <c r="M331" s="9">
        <f t="shared" si="2"/>
        <v>95.94135235</v>
      </c>
      <c r="N331" s="9">
        <f t="shared" si="3"/>
        <v>210.4</v>
      </c>
      <c r="O331" s="9">
        <f t="shared" si="4"/>
        <v>211</v>
      </c>
      <c r="P331" s="9">
        <f t="shared" si="6"/>
        <v>211</v>
      </c>
      <c r="Q331" s="9">
        <f t="shared" ref="Q331:R331" si="329">average(L325:L331)</f>
        <v>191.9428571</v>
      </c>
      <c r="R331" s="9">
        <f t="shared" si="329"/>
        <v>125.9884886</v>
      </c>
      <c r="S331" s="11">
        <v>52.8</v>
      </c>
      <c r="T331" s="11">
        <v>50.8775</v>
      </c>
      <c r="U331" s="12">
        <v>5.62</v>
      </c>
      <c r="V331" s="12"/>
      <c r="W331" s="12">
        <v>15.0</v>
      </c>
      <c r="X331" s="8">
        <v>21725.0</v>
      </c>
      <c r="Y331" s="8">
        <v>1141.0</v>
      </c>
      <c r="Z331" s="8">
        <v>1144.0</v>
      </c>
      <c r="AA331" s="8">
        <v>8.634</v>
      </c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 ht="15.75" customHeight="1">
      <c r="A332" s="6">
        <v>331.0</v>
      </c>
      <c r="B332" s="7">
        <v>49640.0</v>
      </c>
      <c r="C332" s="8">
        <v>89.2</v>
      </c>
      <c r="D332" s="8">
        <v>90.11</v>
      </c>
      <c r="E332" s="8">
        <v>80.25</v>
      </c>
      <c r="F332" s="8">
        <v>89.2</v>
      </c>
      <c r="G332" s="8">
        <v>90.11</v>
      </c>
      <c r="H332" s="8">
        <v>80.25</v>
      </c>
      <c r="I332" s="8">
        <v>20.0</v>
      </c>
      <c r="J332" s="8">
        <v>28.2</v>
      </c>
      <c r="K332" s="8">
        <v>76.9</v>
      </c>
      <c r="L332" s="9">
        <f t="shared" si="1"/>
        <v>198.4</v>
      </c>
      <c r="M332" s="9">
        <f t="shared" si="2"/>
        <v>133.3440426</v>
      </c>
      <c r="N332" s="9">
        <f t="shared" si="3"/>
        <v>147.4</v>
      </c>
      <c r="O332" s="9">
        <f t="shared" si="4"/>
        <v>210.4</v>
      </c>
      <c r="P332" s="9">
        <f t="shared" si="6"/>
        <v>181.6</v>
      </c>
      <c r="Q332" s="9">
        <f t="shared" ref="Q332:R332" si="330">average(L326:L332)</f>
        <v>190.1428571</v>
      </c>
      <c r="R332" s="9">
        <f t="shared" si="330"/>
        <v>127.374481</v>
      </c>
      <c r="S332" s="11">
        <v>53.32</v>
      </c>
      <c r="T332" s="11">
        <v>51.157500000000006</v>
      </c>
      <c r="U332" s="12">
        <v>4.7</v>
      </c>
      <c r="V332" s="12"/>
      <c r="W332" s="12">
        <v>15.0</v>
      </c>
      <c r="X332" s="8">
        <v>22324.0</v>
      </c>
      <c r="Y332" s="8">
        <v>1128.0</v>
      </c>
      <c r="Z332" s="8">
        <v>1102.0</v>
      </c>
      <c r="AA332" s="8">
        <v>8.85</v>
      </c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 ht="15.75" customHeight="1">
      <c r="A333" s="6">
        <v>332.0</v>
      </c>
      <c r="B333" s="7">
        <v>49641.0</v>
      </c>
      <c r="C333" s="8">
        <v>53.6</v>
      </c>
      <c r="D333" s="8">
        <v>88.85</v>
      </c>
      <c r="E333" s="8">
        <v>79.69</v>
      </c>
      <c r="F333" s="8">
        <v>53.6</v>
      </c>
      <c r="G333" s="8">
        <v>88.85</v>
      </c>
      <c r="H333" s="8">
        <v>79.69</v>
      </c>
      <c r="I333" s="8">
        <v>20.0</v>
      </c>
      <c r="J333" s="8">
        <v>29.9</v>
      </c>
      <c r="K333" s="8">
        <v>80.8</v>
      </c>
      <c r="L333" s="9">
        <f t="shared" si="1"/>
        <v>127.2</v>
      </c>
      <c r="M333" s="9">
        <f t="shared" si="2"/>
        <v>80.73433368</v>
      </c>
      <c r="N333" s="9">
        <f t="shared" si="3"/>
        <v>198.4</v>
      </c>
      <c r="O333" s="9">
        <f t="shared" si="4"/>
        <v>147.4</v>
      </c>
      <c r="P333" s="9">
        <f t="shared" si="6"/>
        <v>190.8</v>
      </c>
      <c r="Q333" s="9">
        <f t="shared" ref="Q333:R333" si="331">average(L327:L333)</f>
        <v>182.3714286</v>
      </c>
      <c r="R333" s="9">
        <f t="shared" si="331"/>
        <v>121.4504196</v>
      </c>
      <c r="S333" s="11">
        <v>54.22</v>
      </c>
      <c r="T333" s="11">
        <v>51.235</v>
      </c>
      <c r="U333" s="12">
        <v>5.09</v>
      </c>
      <c r="V333" s="12"/>
      <c r="W333" s="12">
        <v>17.0</v>
      </c>
      <c r="X333" s="8">
        <v>22561.0</v>
      </c>
      <c r="Y333" s="8">
        <v>1195.0</v>
      </c>
      <c r="Z333" s="8">
        <v>1194.0</v>
      </c>
      <c r="AA333" s="8">
        <v>8.886</v>
      </c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 ht="15.75" customHeight="1">
      <c r="A334" s="6">
        <v>333.0</v>
      </c>
      <c r="B334" s="7">
        <v>49642.0</v>
      </c>
      <c r="C334" s="8">
        <v>91.6</v>
      </c>
      <c r="D334" s="8">
        <v>94.46</v>
      </c>
      <c r="E334" s="8">
        <v>75.6</v>
      </c>
      <c r="F334" s="8">
        <v>91.6</v>
      </c>
      <c r="G334" s="8">
        <v>94.46</v>
      </c>
      <c r="H334" s="8">
        <v>75.6</v>
      </c>
      <c r="I334" s="8">
        <v>20.0</v>
      </c>
      <c r="J334" s="8">
        <v>27.4</v>
      </c>
      <c r="K334" s="8">
        <v>83.5</v>
      </c>
      <c r="L334" s="9">
        <f t="shared" si="1"/>
        <v>203.2</v>
      </c>
      <c r="M334" s="9">
        <f t="shared" si="2"/>
        <v>135.4021443</v>
      </c>
      <c r="N334" s="9">
        <f t="shared" si="3"/>
        <v>127.2</v>
      </c>
      <c r="O334" s="9">
        <f t="shared" si="4"/>
        <v>198.4</v>
      </c>
      <c r="P334" s="9">
        <f t="shared" si="6"/>
        <v>191.4</v>
      </c>
      <c r="Q334" s="9">
        <f t="shared" ref="Q334:R334" si="332">average(L328:L334)</f>
        <v>184.1428571</v>
      </c>
      <c r="R334" s="9">
        <f t="shared" si="332"/>
        <v>122.3731967</v>
      </c>
      <c r="S334" s="11">
        <v>54.27</v>
      </c>
      <c r="T334" s="11">
        <v>51.915</v>
      </c>
      <c r="U334" s="12">
        <v>4.63</v>
      </c>
      <c r="V334" s="12"/>
      <c r="W334" s="12">
        <v>15.0</v>
      </c>
      <c r="X334" s="8">
        <v>21684.0</v>
      </c>
      <c r="Y334" s="8">
        <v>1112.0</v>
      </c>
      <c r="Z334" s="8">
        <v>1251.0</v>
      </c>
      <c r="AA334" s="8">
        <v>8.485</v>
      </c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 ht="15.75" customHeight="1">
      <c r="A335" s="6">
        <v>334.0</v>
      </c>
      <c r="B335" s="7">
        <v>49643.0</v>
      </c>
      <c r="C335" s="8">
        <v>94.7</v>
      </c>
      <c r="D335" s="8">
        <v>94.46</v>
      </c>
      <c r="E335" s="8">
        <v>75.6</v>
      </c>
      <c r="F335" s="8">
        <v>94.7</v>
      </c>
      <c r="G335" s="8">
        <v>94.46</v>
      </c>
      <c r="H335" s="8">
        <v>75.6</v>
      </c>
      <c r="I335" s="8">
        <v>20.0</v>
      </c>
      <c r="J335" s="8">
        <v>28.6</v>
      </c>
      <c r="K335" s="8">
        <v>81.6</v>
      </c>
      <c r="L335" s="9">
        <f t="shared" si="1"/>
        <v>209.4</v>
      </c>
      <c r="M335" s="9">
        <f t="shared" si="2"/>
        <v>139.9213934</v>
      </c>
      <c r="N335" s="9">
        <f t="shared" si="3"/>
        <v>203.2</v>
      </c>
      <c r="O335" s="9">
        <f t="shared" si="4"/>
        <v>127.2</v>
      </c>
      <c r="P335" s="9">
        <f t="shared" si="6"/>
        <v>211</v>
      </c>
      <c r="Q335" s="9">
        <f t="shared" ref="Q335:R335" si="333">average(L329:L335)</f>
        <v>186.7142857</v>
      </c>
      <c r="R335" s="9">
        <f t="shared" si="333"/>
        <v>124.1106539</v>
      </c>
      <c r="S335" s="11">
        <v>54.46</v>
      </c>
      <c r="T335" s="11">
        <v>51.9075</v>
      </c>
      <c r="U335" s="12">
        <v>6.17</v>
      </c>
      <c r="V335" s="12"/>
      <c r="W335" s="12">
        <v>17.0</v>
      </c>
      <c r="X335" s="8">
        <v>21847.0</v>
      </c>
      <c r="Y335" s="8">
        <v>1335.0</v>
      </c>
      <c r="Z335" s="8">
        <v>1246.0</v>
      </c>
      <c r="AA335" s="8">
        <v>8.544</v>
      </c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 ht="15.75" customHeight="1">
      <c r="A336" s="6">
        <v>335.0</v>
      </c>
      <c r="B336" s="7">
        <v>49644.0</v>
      </c>
      <c r="C336" s="8">
        <v>92.1</v>
      </c>
      <c r="D336" s="8">
        <v>94.46</v>
      </c>
      <c r="E336" s="8">
        <v>75.6</v>
      </c>
      <c r="F336" s="8">
        <v>92.1</v>
      </c>
      <c r="G336" s="8">
        <v>94.46</v>
      </c>
      <c r="H336" s="8">
        <v>75.6</v>
      </c>
      <c r="I336" s="8">
        <v>20.0</v>
      </c>
      <c r="J336" s="8">
        <v>31.1</v>
      </c>
      <c r="K336" s="8">
        <v>82.0</v>
      </c>
      <c r="L336" s="9">
        <f t="shared" si="1"/>
        <v>204.2</v>
      </c>
      <c r="M336" s="9">
        <f t="shared" si="2"/>
        <v>136.6408619</v>
      </c>
      <c r="N336" s="9">
        <f t="shared" si="3"/>
        <v>209.4</v>
      </c>
      <c r="O336" s="9">
        <f t="shared" si="4"/>
        <v>203.2</v>
      </c>
      <c r="P336" s="9">
        <f t="shared" si="6"/>
        <v>210.4</v>
      </c>
      <c r="Q336" s="9">
        <f t="shared" ref="Q336:R336" si="334">average(L330:L336)</f>
        <v>185.7428571</v>
      </c>
      <c r="R336" s="9">
        <f t="shared" si="334"/>
        <v>123.354692</v>
      </c>
      <c r="S336" s="11">
        <v>54.86</v>
      </c>
      <c r="T336" s="11">
        <v>1377.7774999999997</v>
      </c>
      <c r="U336" s="12">
        <v>5.48</v>
      </c>
      <c r="V336" s="12"/>
      <c r="W336" s="12">
        <v>20.0</v>
      </c>
      <c r="X336" s="8">
        <v>24828.0</v>
      </c>
      <c r="Y336" s="8">
        <v>1170.0</v>
      </c>
      <c r="Z336" s="8">
        <v>1337.0</v>
      </c>
      <c r="AA336" s="8">
        <v>10.09</v>
      </c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 ht="15.75" customHeight="1">
      <c r="A337" s="6">
        <v>336.0</v>
      </c>
      <c r="B337" s="7">
        <v>49645.0</v>
      </c>
      <c r="C337" s="8">
        <v>67.2</v>
      </c>
      <c r="D337" s="8">
        <v>94.46</v>
      </c>
      <c r="E337" s="8">
        <v>75.6</v>
      </c>
      <c r="F337" s="8">
        <v>67.2</v>
      </c>
      <c r="G337" s="8">
        <v>94.46</v>
      </c>
      <c r="H337" s="8">
        <v>75.6</v>
      </c>
      <c r="I337" s="8">
        <v>20.0</v>
      </c>
      <c r="J337" s="8">
        <v>25.1</v>
      </c>
      <c r="K337" s="8">
        <v>82.2</v>
      </c>
      <c r="L337" s="9">
        <f t="shared" si="1"/>
        <v>154.4</v>
      </c>
      <c r="M337" s="9">
        <f t="shared" si="2"/>
        <v>100.1038454</v>
      </c>
      <c r="N337" s="9">
        <f t="shared" si="3"/>
        <v>204.2</v>
      </c>
      <c r="O337" s="9">
        <f t="shared" si="4"/>
        <v>209.4</v>
      </c>
      <c r="P337" s="9">
        <f t="shared" si="6"/>
        <v>147.4</v>
      </c>
      <c r="Q337" s="9">
        <f t="shared" ref="Q337:R337" si="335">average(L331:L337)</f>
        <v>177.7428571</v>
      </c>
      <c r="R337" s="9">
        <f t="shared" si="335"/>
        <v>117.4411391</v>
      </c>
      <c r="S337" s="11">
        <v>56.07</v>
      </c>
      <c r="T337" s="11">
        <v>52.224999999999994</v>
      </c>
      <c r="U337" s="12">
        <v>5.43</v>
      </c>
      <c r="V337" s="12"/>
      <c r="W337" s="12">
        <v>27.0</v>
      </c>
      <c r="X337" s="8">
        <v>18801.0</v>
      </c>
      <c r="Y337" s="8">
        <v>985.0</v>
      </c>
      <c r="Z337" s="8">
        <v>1012.0</v>
      </c>
      <c r="AA337" s="8">
        <v>6.907</v>
      </c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 ht="15.75" customHeight="1">
      <c r="A338" s="6">
        <v>337.0</v>
      </c>
      <c r="B338" s="7">
        <v>49646.0</v>
      </c>
      <c r="C338" s="8">
        <v>80.9</v>
      </c>
      <c r="D338" s="8">
        <v>94.46</v>
      </c>
      <c r="E338" s="8">
        <v>75.6</v>
      </c>
      <c r="F338" s="8">
        <v>80.9</v>
      </c>
      <c r="G338" s="8">
        <v>94.46</v>
      </c>
      <c r="H338" s="8">
        <v>75.6</v>
      </c>
      <c r="I338" s="8">
        <v>20.0</v>
      </c>
      <c r="J338" s="8">
        <v>22.0</v>
      </c>
      <c r="K338" s="8">
        <v>81.4</v>
      </c>
      <c r="L338" s="9">
        <f t="shared" si="1"/>
        <v>181.8</v>
      </c>
      <c r="M338" s="9">
        <f t="shared" si="2"/>
        <v>119.1258277</v>
      </c>
      <c r="N338" s="9">
        <f t="shared" si="3"/>
        <v>154.4</v>
      </c>
      <c r="O338" s="9">
        <f t="shared" si="4"/>
        <v>204.2</v>
      </c>
      <c r="P338" s="9">
        <f t="shared" si="6"/>
        <v>198.4</v>
      </c>
      <c r="Q338" s="9">
        <f t="shared" ref="Q338:R338" si="336">average(L332:L338)</f>
        <v>182.6571429</v>
      </c>
      <c r="R338" s="9">
        <f t="shared" si="336"/>
        <v>120.753207</v>
      </c>
      <c r="S338" s="11">
        <v>55.99</v>
      </c>
      <c r="T338" s="11">
        <v>52.4</v>
      </c>
      <c r="U338" s="12">
        <v>6.45</v>
      </c>
      <c r="V338" s="12"/>
      <c r="W338" s="12">
        <v>22.0</v>
      </c>
      <c r="X338" s="8">
        <v>18676.0</v>
      </c>
      <c r="Y338" s="8">
        <v>1240.0</v>
      </c>
      <c r="Z338" s="8">
        <v>740.0</v>
      </c>
      <c r="AA338" s="8">
        <v>6.609</v>
      </c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 ht="15.75" customHeight="1">
      <c r="A339" s="6">
        <v>338.0</v>
      </c>
      <c r="B339" s="7">
        <v>49647.0</v>
      </c>
      <c r="C339" s="8">
        <v>81.0</v>
      </c>
      <c r="D339" s="8">
        <v>93.09</v>
      </c>
      <c r="E339" s="8">
        <v>80.39</v>
      </c>
      <c r="F339" s="8">
        <v>81.0</v>
      </c>
      <c r="G339" s="8">
        <v>93.09</v>
      </c>
      <c r="H339" s="8">
        <v>80.39</v>
      </c>
      <c r="I339" s="8">
        <v>20.0</v>
      </c>
      <c r="J339" s="8">
        <v>24.6</v>
      </c>
      <c r="K339" s="8">
        <v>82.0</v>
      </c>
      <c r="L339" s="9">
        <f t="shared" si="1"/>
        <v>182</v>
      </c>
      <c r="M339" s="9">
        <f t="shared" si="2"/>
        <v>125.2671826</v>
      </c>
      <c r="N339" s="9">
        <f t="shared" si="3"/>
        <v>181.8</v>
      </c>
      <c r="O339" s="9">
        <f t="shared" si="4"/>
        <v>154.4</v>
      </c>
      <c r="P339" s="9">
        <f t="shared" si="6"/>
        <v>127.2</v>
      </c>
      <c r="Q339" s="9">
        <f t="shared" ref="Q339:R339" si="337">average(L333:L339)</f>
        <v>180.3142857</v>
      </c>
      <c r="R339" s="9">
        <f t="shared" si="337"/>
        <v>119.5993699</v>
      </c>
      <c r="S339" s="11">
        <v>55.4</v>
      </c>
      <c r="T339" s="11">
        <v>52.395</v>
      </c>
      <c r="U339" s="12">
        <v>6.2</v>
      </c>
      <c r="V339" s="12"/>
      <c r="W339" s="12">
        <v>20.0</v>
      </c>
      <c r="X339" s="8">
        <v>20216.0</v>
      </c>
      <c r="Y339" s="8">
        <v>1350.0</v>
      </c>
      <c r="Z339" s="8">
        <v>878.0</v>
      </c>
      <c r="AA339" s="8">
        <v>7.146</v>
      </c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 ht="15.75" customHeight="1">
      <c r="A340" s="6">
        <v>339.0</v>
      </c>
      <c r="B340" s="7">
        <v>49648.0</v>
      </c>
      <c r="C340" s="8">
        <v>83.5</v>
      </c>
      <c r="D340" s="8">
        <v>91.51</v>
      </c>
      <c r="E340" s="8">
        <v>79.87</v>
      </c>
      <c r="F340" s="8">
        <v>83.5</v>
      </c>
      <c r="G340" s="8">
        <v>91.51</v>
      </c>
      <c r="H340" s="8">
        <v>79.87</v>
      </c>
      <c r="I340" s="8">
        <v>20.0</v>
      </c>
      <c r="J340" s="8">
        <v>26.1</v>
      </c>
      <c r="K340" s="8">
        <v>82.8</v>
      </c>
      <c r="L340" s="9">
        <f t="shared" si="1"/>
        <v>187</v>
      </c>
      <c r="M340" s="9">
        <f t="shared" si="2"/>
        <v>126.3808518</v>
      </c>
      <c r="N340" s="9">
        <f t="shared" si="3"/>
        <v>182</v>
      </c>
      <c r="O340" s="9">
        <f t="shared" si="4"/>
        <v>181.8</v>
      </c>
      <c r="P340" s="9">
        <f t="shared" si="6"/>
        <v>203.2</v>
      </c>
      <c r="Q340" s="9">
        <f t="shared" ref="Q340:R340" si="338">average(L334:L340)</f>
        <v>188.8571429</v>
      </c>
      <c r="R340" s="9">
        <f t="shared" si="338"/>
        <v>126.120301</v>
      </c>
      <c r="S340" s="11">
        <v>54.91</v>
      </c>
      <c r="T340" s="11">
        <v>52.035</v>
      </c>
      <c r="U340" s="12">
        <v>6.66</v>
      </c>
      <c r="V340" s="12"/>
      <c r="W340" s="12">
        <v>17.0</v>
      </c>
      <c r="X340" s="8">
        <v>24401.0</v>
      </c>
      <c r="Y340" s="8">
        <v>1483.0</v>
      </c>
      <c r="Z340" s="8">
        <v>1092.0</v>
      </c>
      <c r="AA340" s="8">
        <v>9.884</v>
      </c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 ht="15.75" customHeight="1">
      <c r="A341" s="6">
        <v>340.0</v>
      </c>
      <c r="B341" s="7">
        <v>49649.0</v>
      </c>
      <c r="C341" s="8">
        <v>70.1</v>
      </c>
      <c r="D341" s="8">
        <v>88.27</v>
      </c>
      <c r="E341" s="8">
        <v>79.85</v>
      </c>
      <c r="F341" s="8">
        <v>70.1</v>
      </c>
      <c r="G341" s="8">
        <v>88.27</v>
      </c>
      <c r="H341" s="8">
        <v>79.85</v>
      </c>
      <c r="I341" s="8">
        <v>20.0</v>
      </c>
      <c r="J341" s="8">
        <v>28.3</v>
      </c>
      <c r="K341" s="8">
        <v>83.5</v>
      </c>
      <c r="L341" s="9">
        <f t="shared" si="1"/>
        <v>160.2</v>
      </c>
      <c r="M341" s="9">
        <f t="shared" si="2"/>
        <v>103.5441002</v>
      </c>
      <c r="N341" s="9">
        <f t="shared" si="3"/>
        <v>187</v>
      </c>
      <c r="O341" s="9">
        <f t="shared" si="4"/>
        <v>182</v>
      </c>
      <c r="P341" s="9">
        <f t="shared" si="6"/>
        <v>209.4</v>
      </c>
      <c r="Q341" s="9">
        <f t="shared" ref="Q341:R341" si="339">average(L335:L341)</f>
        <v>182.7142857</v>
      </c>
      <c r="R341" s="9">
        <f t="shared" si="339"/>
        <v>121.5691519</v>
      </c>
      <c r="S341" s="11">
        <v>55.35</v>
      </c>
      <c r="T341" s="11">
        <v>51.9925</v>
      </c>
      <c r="U341" s="12">
        <v>7.11</v>
      </c>
      <c r="V341" s="12"/>
      <c r="W341" s="12">
        <v>19.0</v>
      </c>
      <c r="X341" s="8">
        <v>21653.0</v>
      </c>
      <c r="Y341" s="8">
        <v>1395.0</v>
      </c>
      <c r="Z341" s="8">
        <v>1170.0</v>
      </c>
      <c r="AA341" s="8">
        <v>8.469</v>
      </c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 ht="15.75" customHeight="1">
      <c r="A342" s="6">
        <v>341.0</v>
      </c>
      <c r="B342" s="7">
        <v>49650.0</v>
      </c>
      <c r="C342" s="8">
        <v>89.9</v>
      </c>
      <c r="D342" s="8">
        <v>90.78</v>
      </c>
      <c r="E342" s="8">
        <v>80.06</v>
      </c>
      <c r="F342" s="8">
        <v>89.9</v>
      </c>
      <c r="G342" s="8">
        <v>90.78</v>
      </c>
      <c r="H342" s="8">
        <v>80.06</v>
      </c>
      <c r="I342" s="8">
        <v>20.0</v>
      </c>
      <c r="J342" s="8">
        <v>30.2</v>
      </c>
      <c r="K342" s="8">
        <v>83.0</v>
      </c>
      <c r="L342" s="9">
        <f t="shared" si="1"/>
        <v>199.8</v>
      </c>
      <c r="M342" s="9">
        <f t="shared" si="2"/>
        <v>135.6890855</v>
      </c>
      <c r="N342" s="9">
        <f t="shared" si="3"/>
        <v>160.2</v>
      </c>
      <c r="O342" s="9">
        <f t="shared" si="4"/>
        <v>187</v>
      </c>
      <c r="P342" s="9">
        <f t="shared" si="6"/>
        <v>204.2</v>
      </c>
      <c r="Q342" s="9">
        <f t="shared" ref="Q342:R342" si="340">average(L336:L342)</f>
        <v>181.3428571</v>
      </c>
      <c r="R342" s="9">
        <f t="shared" si="340"/>
        <v>120.9645364</v>
      </c>
      <c r="S342" s="11">
        <v>54.5</v>
      </c>
      <c r="T342" s="11">
        <v>51.3</v>
      </c>
      <c r="U342" s="12">
        <v>6.4</v>
      </c>
      <c r="V342" s="12"/>
      <c r="W342" s="12">
        <v>16.0</v>
      </c>
      <c r="X342" s="8">
        <v>21658.0</v>
      </c>
      <c r="Y342" s="8">
        <v>1339.0</v>
      </c>
      <c r="Z342" s="8">
        <v>1057.0</v>
      </c>
      <c r="AA342" s="8">
        <v>8.384</v>
      </c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 ht="15.75" customHeight="1">
      <c r="A343" s="6">
        <v>342.0</v>
      </c>
      <c r="B343" s="7">
        <v>49651.0</v>
      </c>
      <c r="C343" s="8">
        <v>97.8</v>
      </c>
      <c r="D343" s="8">
        <v>91.67</v>
      </c>
      <c r="E343" s="8">
        <v>77.23</v>
      </c>
      <c r="F343" s="8">
        <v>97.8</v>
      </c>
      <c r="G343" s="8">
        <v>91.67</v>
      </c>
      <c r="H343" s="8">
        <v>77.23</v>
      </c>
      <c r="I343" s="8">
        <v>20.0</v>
      </c>
      <c r="J343" s="8">
        <v>29.3</v>
      </c>
      <c r="K343" s="8">
        <v>83.2</v>
      </c>
      <c r="L343" s="9">
        <f t="shared" si="1"/>
        <v>215.6</v>
      </c>
      <c r="M343" s="9">
        <f t="shared" si="2"/>
        <v>143.3539454</v>
      </c>
      <c r="N343" s="9">
        <f t="shared" si="3"/>
        <v>199.8</v>
      </c>
      <c r="O343" s="9">
        <f t="shared" si="4"/>
        <v>160.2</v>
      </c>
      <c r="P343" s="9">
        <f t="shared" si="6"/>
        <v>154.4</v>
      </c>
      <c r="Q343" s="9">
        <f t="shared" ref="Q343:R343" si="341">average(L337:L343)</f>
        <v>182.9714286</v>
      </c>
      <c r="R343" s="9">
        <f t="shared" si="341"/>
        <v>121.9235484</v>
      </c>
      <c r="S343" s="11">
        <v>56.19</v>
      </c>
      <c r="T343" s="11">
        <v>52.42</v>
      </c>
      <c r="U343" s="12">
        <v>5.17</v>
      </c>
      <c r="V343" s="12"/>
      <c r="W343" s="12">
        <v>14.0</v>
      </c>
      <c r="X343" s="8">
        <v>22181.0</v>
      </c>
      <c r="Y343" s="8">
        <v>1365.0</v>
      </c>
      <c r="Z343" s="8">
        <v>1216.0</v>
      </c>
      <c r="AA343" s="8">
        <v>8.551</v>
      </c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 ht="15.75" customHeight="1">
      <c r="A344" s="6">
        <v>343.0</v>
      </c>
      <c r="B344" s="7">
        <v>49652.0</v>
      </c>
      <c r="C344" s="8">
        <v>96.6</v>
      </c>
      <c r="D344" s="8">
        <v>91.55</v>
      </c>
      <c r="E344" s="8">
        <v>78.36</v>
      </c>
      <c r="F344" s="8">
        <v>96.6</v>
      </c>
      <c r="G344" s="8">
        <v>91.55</v>
      </c>
      <c r="H344" s="8">
        <v>78.36</v>
      </c>
      <c r="I344" s="8">
        <v>20.0</v>
      </c>
      <c r="J344" s="8">
        <v>25.5</v>
      </c>
      <c r="K344" s="8">
        <v>81.5</v>
      </c>
      <c r="L344" s="9">
        <f t="shared" si="1"/>
        <v>213.2</v>
      </c>
      <c r="M344" s="9">
        <f t="shared" si="2"/>
        <v>142.7554366</v>
      </c>
      <c r="N344" s="9">
        <f t="shared" si="3"/>
        <v>215.6</v>
      </c>
      <c r="O344" s="9">
        <f t="shared" si="4"/>
        <v>199.8</v>
      </c>
      <c r="P344" s="9">
        <f t="shared" si="6"/>
        <v>181.8</v>
      </c>
      <c r="Q344" s="9">
        <f t="shared" ref="Q344:R344" si="342">average(L338:L344)</f>
        <v>191.3714286</v>
      </c>
      <c r="R344" s="9">
        <f t="shared" si="342"/>
        <v>128.0166328</v>
      </c>
      <c r="S344" s="11">
        <v>56.13</v>
      </c>
      <c r="T344" s="11">
        <v>52.3375</v>
      </c>
      <c r="U344" s="12">
        <v>8.87</v>
      </c>
      <c r="V344" s="12"/>
      <c r="W344" s="12">
        <v>13.0</v>
      </c>
      <c r="X344" s="8">
        <v>24654.0</v>
      </c>
      <c r="Y344" s="8">
        <v>1735.0</v>
      </c>
      <c r="Z344" s="8">
        <v>1172.0</v>
      </c>
      <c r="AA344" s="8">
        <v>9.312</v>
      </c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 ht="15.75" customHeight="1">
      <c r="A345" s="6">
        <v>344.0</v>
      </c>
      <c r="B345" s="7">
        <v>49653.0</v>
      </c>
      <c r="C345" s="8">
        <v>97.1</v>
      </c>
      <c r="D345" s="8">
        <v>90.84</v>
      </c>
      <c r="E345" s="8">
        <v>81.09</v>
      </c>
      <c r="F345" s="8">
        <v>97.1</v>
      </c>
      <c r="G345" s="8">
        <v>90.84</v>
      </c>
      <c r="H345" s="8">
        <v>81.09</v>
      </c>
      <c r="I345" s="8">
        <v>20.0</v>
      </c>
      <c r="J345" s="8">
        <v>32.6</v>
      </c>
      <c r="K345" s="8">
        <v>81.2</v>
      </c>
      <c r="L345" s="9">
        <f t="shared" si="1"/>
        <v>214.2</v>
      </c>
      <c r="M345" s="9">
        <f t="shared" si="2"/>
        <v>148.346147</v>
      </c>
      <c r="N345" s="9">
        <f t="shared" si="3"/>
        <v>213.2</v>
      </c>
      <c r="O345" s="9">
        <f t="shared" si="4"/>
        <v>215.6</v>
      </c>
      <c r="P345" s="9">
        <f t="shared" si="6"/>
        <v>182</v>
      </c>
      <c r="Q345" s="9">
        <f t="shared" ref="Q345:R345" si="343">average(L339:L345)</f>
        <v>196</v>
      </c>
      <c r="R345" s="9">
        <f t="shared" si="343"/>
        <v>132.1909641</v>
      </c>
      <c r="S345" s="11">
        <v>55.92</v>
      </c>
      <c r="T345" s="11">
        <v>52.7375</v>
      </c>
      <c r="U345" s="12">
        <v>8.24</v>
      </c>
      <c r="V345" s="12"/>
      <c r="W345" s="12">
        <v>13.0</v>
      </c>
      <c r="X345" s="8">
        <v>26522.0</v>
      </c>
      <c r="Y345" s="8">
        <v>1713.0</v>
      </c>
      <c r="Z345" s="8">
        <v>1235.0</v>
      </c>
      <c r="AA345" s="8">
        <v>10.147</v>
      </c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 ht="15.75" customHeight="1">
      <c r="A346" s="6">
        <v>345.0</v>
      </c>
      <c r="B346" s="7">
        <v>49654.0</v>
      </c>
      <c r="C346" s="8">
        <v>80.9</v>
      </c>
      <c r="D346" s="8">
        <v>88.66</v>
      </c>
      <c r="E346" s="8">
        <v>79.65</v>
      </c>
      <c r="F346" s="8">
        <v>80.9</v>
      </c>
      <c r="G346" s="8">
        <v>88.66</v>
      </c>
      <c r="H346" s="8">
        <v>79.65</v>
      </c>
      <c r="I346" s="8">
        <v>20.0</v>
      </c>
      <c r="J346" s="8">
        <v>21.8</v>
      </c>
      <c r="K346" s="8">
        <v>83.4</v>
      </c>
      <c r="L346" s="9">
        <f t="shared" si="1"/>
        <v>181.8</v>
      </c>
      <c r="M346" s="9">
        <f t="shared" si="2"/>
        <v>117.8956624</v>
      </c>
      <c r="N346" s="9">
        <f t="shared" si="3"/>
        <v>214.2</v>
      </c>
      <c r="O346" s="9">
        <f t="shared" si="4"/>
        <v>213.2</v>
      </c>
      <c r="P346" s="9">
        <f t="shared" si="6"/>
        <v>187</v>
      </c>
      <c r="Q346" s="9">
        <f t="shared" ref="Q346:R346" si="344">average(L340:L346)</f>
        <v>195.9714286</v>
      </c>
      <c r="R346" s="9">
        <f t="shared" si="344"/>
        <v>131.1378898</v>
      </c>
      <c r="S346" s="11">
        <v>56.32</v>
      </c>
      <c r="T346" s="11">
        <v>53.144999999999996</v>
      </c>
      <c r="U346" s="12">
        <v>7.79</v>
      </c>
      <c r="V346" s="12"/>
      <c r="W346" s="12">
        <v>15.0</v>
      </c>
      <c r="X346" s="8">
        <v>27589.0</v>
      </c>
      <c r="Y346" s="8">
        <v>1530.0</v>
      </c>
      <c r="Z346" s="8">
        <v>1229.0</v>
      </c>
      <c r="AA346" s="8">
        <v>10.572</v>
      </c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 ht="15.75" customHeight="1">
      <c r="A347" s="6">
        <v>346.0</v>
      </c>
      <c r="B347" s="7">
        <v>49655.0</v>
      </c>
      <c r="C347" s="8">
        <v>81.3</v>
      </c>
      <c r="D347" s="8">
        <v>92.77</v>
      </c>
      <c r="E347" s="8">
        <v>80.5</v>
      </c>
      <c r="F347" s="8">
        <v>81.3</v>
      </c>
      <c r="G347" s="8">
        <v>92.77</v>
      </c>
      <c r="H347" s="8">
        <v>80.5</v>
      </c>
      <c r="I347" s="8">
        <v>20.0</v>
      </c>
      <c r="J347" s="8">
        <v>26.5</v>
      </c>
      <c r="K347" s="8">
        <v>81.8</v>
      </c>
      <c r="L347" s="9">
        <f t="shared" si="1"/>
        <v>182.6</v>
      </c>
      <c r="M347" s="9">
        <f t="shared" si="2"/>
        <v>125.7648361</v>
      </c>
      <c r="N347" s="9">
        <f t="shared" si="3"/>
        <v>181.8</v>
      </c>
      <c r="O347" s="9">
        <f t="shared" si="4"/>
        <v>214.2</v>
      </c>
      <c r="P347" s="9">
        <f t="shared" si="6"/>
        <v>160.2</v>
      </c>
      <c r="Q347" s="9">
        <f t="shared" ref="Q347:R347" si="345">average(L341:L347)</f>
        <v>195.3428571</v>
      </c>
      <c r="R347" s="9">
        <f t="shared" si="345"/>
        <v>131.0498876</v>
      </c>
      <c r="S347" s="11">
        <v>56.42</v>
      </c>
      <c r="T347" s="11">
        <v>53.129999999999995</v>
      </c>
      <c r="U347" s="12">
        <v>5.71</v>
      </c>
      <c r="V347" s="12"/>
      <c r="W347" s="12">
        <v>17.0</v>
      </c>
      <c r="X347" s="8">
        <v>26509.0</v>
      </c>
      <c r="Y347" s="8">
        <v>1440.0</v>
      </c>
      <c r="Z347" s="8">
        <v>1255.0</v>
      </c>
      <c r="AA347" s="8">
        <v>10.156</v>
      </c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 ht="15.75" customHeight="1">
      <c r="A348" s="6">
        <v>347.0</v>
      </c>
      <c r="B348" s="7">
        <v>49656.0</v>
      </c>
      <c r="C348" s="8">
        <v>89.4</v>
      </c>
      <c r="D348" s="8">
        <v>90.95</v>
      </c>
      <c r="E348" s="8">
        <v>79.41</v>
      </c>
      <c r="F348" s="8">
        <v>89.4</v>
      </c>
      <c r="G348" s="8">
        <v>90.95</v>
      </c>
      <c r="H348" s="8">
        <v>79.41</v>
      </c>
      <c r="I348" s="8">
        <v>20.0</v>
      </c>
      <c r="J348" s="8">
        <v>30.5</v>
      </c>
      <c r="K348" s="8">
        <v>80.6</v>
      </c>
      <c r="L348" s="9">
        <f t="shared" si="1"/>
        <v>198.8</v>
      </c>
      <c r="M348" s="9">
        <f t="shared" si="2"/>
        <v>134.0520303</v>
      </c>
      <c r="N348" s="9">
        <f t="shared" si="3"/>
        <v>182.6</v>
      </c>
      <c r="O348" s="9">
        <f t="shared" si="4"/>
        <v>181.8</v>
      </c>
      <c r="P348" s="9">
        <f t="shared" si="6"/>
        <v>199.8</v>
      </c>
      <c r="Q348" s="9">
        <f t="shared" ref="Q348:R348" si="346">average(L342:L348)</f>
        <v>200.8571429</v>
      </c>
      <c r="R348" s="9">
        <f t="shared" si="346"/>
        <v>135.4081633</v>
      </c>
      <c r="S348" s="11">
        <v>56.75</v>
      </c>
      <c r="T348" s="11">
        <v>53.385000000000005</v>
      </c>
      <c r="U348" s="12">
        <v>8.39</v>
      </c>
      <c r="V348" s="12"/>
      <c r="W348" s="12">
        <v>12.0</v>
      </c>
      <c r="X348" s="8">
        <v>25931.0</v>
      </c>
      <c r="Y348" s="8">
        <v>1655.0</v>
      </c>
      <c r="Z348" s="8">
        <v>1302.0</v>
      </c>
      <c r="AA348" s="8">
        <v>10.147</v>
      </c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 ht="15.75" customHeight="1">
      <c r="A349" s="6">
        <v>348.0</v>
      </c>
      <c r="B349" s="7">
        <v>49657.0</v>
      </c>
      <c r="C349" s="8">
        <v>58.8</v>
      </c>
      <c r="D349" s="8">
        <v>89.3</v>
      </c>
      <c r="E349" s="8">
        <v>79.96</v>
      </c>
      <c r="F349" s="8">
        <v>58.8</v>
      </c>
      <c r="G349" s="8">
        <v>89.3</v>
      </c>
      <c r="H349" s="8">
        <v>79.96</v>
      </c>
      <c r="I349" s="8">
        <v>20.0</v>
      </c>
      <c r="J349" s="8">
        <v>25.2</v>
      </c>
      <c r="K349" s="8">
        <v>81.2</v>
      </c>
      <c r="L349" s="9">
        <f t="shared" si="1"/>
        <v>137.6</v>
      </c>
      <c r="M349" s="9">
        <f t="shared" si="2"/>
        <v>88.06391328</v>
      </c>
      <c r="N349" s="9">
        <f t="shared" si="3"/>
        <v>198.8</v>
      </c>
      <c r="O349" s="9">
        <f t="shared" si="4"/>
        <v>182.6</v>
      </c>
      <c r="P349" s="9">
        <f t="shared" si="6"/>
        <v>215.6</v>
      </c>
      <c r="Q349" s="9">
        <f t="shared" ref="Q349:R349" si="347">average(L343:L349)</f>
        <v>191.9714286</v>
      </c>
      <c r="R349" s="9">
        <f t="shared" si="347"/>
        <v>128.6045673</v>
      </c>
      <c r="S349" s="11">
        <v>56.84</v>
      </c>
      <c r="T349" s="11">
        <v>53.4825</v>
      </c>
      <c r="U349" s="12">
        <v>6.69</v>
      </c>
      <c r="V349" s="12"/>
      <c r="W349" s="12">
        <v>14.0</v>
      </c>
      <c r="X349" s="8">
        <v>25653.0</v>
      </c>
      <c r="Y349" s="8">
        <v>1500.0</v>
      </c>
      <c r="Z349" s="8">
        <v>1318.0</v>
      </c>
      <c r="AA349" s="8">
        <v>9.566</v>
      </c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 ht="15.75" customHeight="1">
      <c r="A350" s="6">
        <v>349.0</v>
      </c>
      <c r="B350" s="7">
        <v>49658.0</v>
      </c>
      <c r="C350" s="8">
        <v>96.0</v>
      </c>
      <c r="D350" s="8">
        <v>90.13</v>
      </c>
      <c r="E350" s="8">
        <v>79.81</v>
      </c>
      <c r="F350" s="8">
        <v>96.0</v>
      </c>
      <c r="G350" s="8">
        <v>90.13</v>
      </c>
      <c r="H350" s="8">
        <v>79.81</v>
      </c>
      <c r="I350" s="8">
        <v>20.0</v>
      </c>
      <c r="J350" s="8">
        <v>31.2</v>
      </c>
      <c r="K350" s="8">
        <v>81.1</v>
      </c>
      <c r="L350" s="9">
        <f t="shared" si="1"/>
        <v>212</v>
      </c>
      <c r="M350" s="9">
        <f t="shared" si="2"/>
        <v>143.1715258</v>
      </c>
      <c r="N350" s="9">
        <f t="shared" si="3"/>
        <v>137.6</v>
      </c>
      <c r="O350" s="9">
        <f t="shared" si="4"/>
        <v>198.8</v>
      </c>
      <c r="P350" s="9">
        <f t="shared" si="6"/>
        <v>213.2</v>
      </c>
      <c r="Q350" s="9">
        <f t="shared" ref="Q350:R350" si="348">average(L344:L350)</f>
        <v>191.4571429</v>
      </c>
      <c r="R350" s="9">
        <f t="shared" si="348"/>
        <v>128.5785073</v>
      </c>
      <c r="S350" s="11">
        <v>55.75</v>
      </c>
      <c r="T350" s="11">
        <v>53.2775</v>
      </c>
      <c r="U350" s="12">
        <v>6.76</v>
      </c>
      <c r="V350" s="12"/>
      <c r="W350" s="12">
        <v>14.0</v>
      </c>
      <c r="X350" s="8">
        <v>24997.0</v>
      </c>
      <c r="Y350" s="8">
        <v>1590.0</v>
      </c>
      <c r="Z350" s="8">
        <v>1284.0</v>
      </c>
      <c r="AA350" s="8">
        <v>9.029</v>
      </c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 ht="15.75" customHeight="1">
      <c r="A351" s="6">
        <v>350.0</v>
      </c>
      <c r="B351" s="7">
        <v>49659.0</v>
      </c>
      <c r="C351" s="8">
        <v>93.4</v>
      </c>
      <c r="D351" s="8">
        <v>88.55</v>
      </c>
      <c r="E351" s="8">
        <v>82.11</v>
      </c>
      <c r="F351" s="8">
        <v>93.4</v>
      </c>
      <c r="G351" s="8">
        <v>88.55</v>
      </c>
      <c r="H351" s="8">
        <v>82.11</v>
      </c>
      <c r="I351" s="8">
        <v>20.0</v>
      </c>
      <c r="J351" s="8">
        <v>32.3</v>
      </c>
      <c r="K351" s="8">
        <v>80.2</v>
      </c>
      <c r="L351" s="9">
        <f t="shared" si="1"/>
        <v>206.8</v>
      </c>
      <c r="M351" s="9">
        <f t="shared" si="2"/>
        <v>141.0002205</v>
      </c>
      <c r="N351" s="9">
        <f t="shared" si="3"/>
        <v>212</v>
      </c>
      <c r="O351" s="9">
        <f t="shared" si="4"/>
        <v>137.6</v>
      </c>
      <c r="P351" s="9">
        <f t="shared" si="6"/>
        <v>214.2</v>
      </c>
      <c r="Q351" s="9">
        <f t="shared" ref="Q351:R351" si="349">average(L345:L351)</f>
        <v>190.5428571</v>
      </c>
      <c r="R351" s="9">
        <f t="shared" si="349"/>
        <v>128.3277622</v>
      </c>
      <c r="S351" s="11">
        <v>55.78</v>
      </c>
      <c r="T351" s="11">
        <v>53.93</v>
      </c>
      <c r="U351" s="12">
        <v>7.86</v>
      </c>
      <c r="V351" s="12"/>
      <c r="W351" s="12">
        <v>12.0</v>
      </c>
      <c r="X351" s="8">
        <v>25585.0</v>
      </c>
      <c r="Y351" s="8">
        <v>1695.0</v>
      </c>
      <c r="Z351" s="8">
        <v>1254.0</v>
      </c>
      <c r="AA351" s="8">
        <v>8.83</v>
      </c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 ht="15.75" customHeight="1">
      <c r="A352" s="6">
        <v>351.0</v>
      </c>
      <c r="B352" s="7">
        <v>49660.0</v>
      </c>
      <c r="C352" s="8">
        <v>97.0</v>
      </c>
      <c r="D352" s="8">
        <v>89.04</v>
      </c>
      <c r="E352" s="8">
        <v>75.65</v>
      </c>
      <c r="F352" s="8">
        <v>97.0</v>
      </c>
      <c r="G352" s="8">
        <v>89.04</v>
      </c>
      <c r="H352" s="8">
        <v>75.65</v>
      </c>
      <c r="I352" s="8">
        <v>20.0</v>
      </c>
      <c r="J352" s="8">
        <v>30.9</v>
      </c>
      <c r="K352" s="8">
        <v>77.1</v>
      </c>
      <c r="L352" s="9">
        <f t="shared" si="1"/>
        <v>214</v>
      </c>
      <c r="M352" s="9">
        <f t="shared" si="2"/>
        <v>135.4407744</v>
      </c>
      <c r="N352" s="9">
        <f t="shared" si="3"/>
        <v>206.8</v>
      </c>
      <c r="O352" s="9">
        <f t="shared" si="4"/>
        <v>212</v>
      </c>
      <c r="P352" s="9">
        <f t="shared" si="6"/>
        <v>181.8</v>
      </c>
      <c r="Q352" s="9">
        <f t="shared" ref="Q352:R352" si="350">average(L346:L352)</f>
        <v>190.5142857</v>
      </c>
      <c r="R352" s="9">
        <f t="shared" si="350"/>
        <v>126.4841375</v>
      </c>
      <c r="S352" s="11">
        <v>55.33</v>
      </c>
      <c r="T352" s="11">
        <v>53.8125</v>
      </c>
      <c r="U352" s="12">
        <v>8.62</v>
      </c>
      <c r="V352" s="12"/>
      <c r="W352" s="12">
        <v>13.0</v>
      </c>
      <c r="X352" s="8">
        <v>25486.0</v>
      </c>
      <c r="Y352" s="8">
        <v>1747.0</v>
      </c>
      <c r="Z352" s="8">
        <v>1330.0</v>
      </c>
      <c r="AA352" s="8">
        <v>9.638</v>
      </c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 ht="15.75" customHeight="1">
      <c r="A353" s="6">
        <v>352.0</v>
      </c>
      <c r="B353" s="7">
        <v>49661.0</v>
      </c>
      <c r="C353" s="8">
        <v>66.6</v>
      </c>
      <c r="D353" s="8">
        <v>88.8</v>
      </c>
      <c r="E353" s="8">
        <v>78.88</v>
      </c>
      <c r="F353" s="8">
        <v>66.6</v>
      </c>
      <c r="G353" s="8">
        <v>88.8</v>
      </c>
      <c r="H353" s="8">
        <v>78.88</v>
      </c>
      <c r="I353" s="8">
        <v>20.0</v>
      </c>
      <c r="J353" s="8">
        <v>25.0</v>
      </c>
      <c r="K353" s="8">
        <v>77.7</v>
      </c>
      <c r="L353" s="9">
        <f t="shared" si="1"/>
        <v>153.2</v>
      </c>
      <c r="M353" s="9">
        <f t="shared" si="2"/>
        <v>97.18552608</v>
      </c>
      <c r="N353" s="9">
        <f t="shared" si="3"/>
        <v>214</v>
      </c>
      <c r="O353" s="9">
        <f t="shared" si="4"/>
        <v>206.8</v>
      </c>
      <c r="P353" s="9">
        <f t="shared" si="6"/>
        <v>182.6</v>
      </c>
      <c r="Q353" s="9">
        <f t="shared" ref="Q353:R353" si="351">average(L347:L353)</f>
        <v>186.4285714</v>
      </c>
      <c r="R353" s="9">
        <f t="shared" si="351"/>
        <v>123.5255466</v>
      </c>
      <c r="S353" s="11">
        <v>54.34</v>
      </c>
      <c r="T353" s="11">
        <v>53.1</v>
      </c>
      <c r="U353" s="12">
        <v>7.05</v>
      </c>
      <c r="V353" s="12"/>
      <c r="W353" s="12">
        <v>13.0</v>
      </c>
      <c r="X353" s="8">
        <v>24275.0</v>
      </c>
      <c r="Y353" s="8">
        <v>1594.0</v>
      </c>
      <c r="Z353" s="8">
        <v>1356.0</v>
      </c>
      <c r="AA353" s="8">
        <v>9.52</v>
      </c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 ht="15.75" customHeight="1">
      <c r="A354" s="6">
        <v>353.0</v>
      </c>
      <c r="B354" s="7">
        <v>49662.0</v>
      </c>
      <c r="C354" s="8">
        <v>38.9</v>
      </c>
      <c r="D354" s="8">
        <v>89.86</v>
      </c>
      <c r="E354" s="8">
        <v>77.42</v>
      </c>
      <c r="F354" s="8">
        <v>38.9</v>
      </c>
      <c r="G354" s="8">
        <v>89.86</v>
      </c>
      <c r="H354" s="8">
        <v>77.42</v>
      </c>
      <c r="I354" s="8">
        <v>20.0</v>
      </c>
      <c r="J354" s="8">
        <v>22.2</v>
      </c>
      <c r="K354" s="8">
        <v>82.3</v>
      </c>
      <c r="L354" s="9">
        <f t="shared" si="1"/>
        <v>97.8</v>
      </c>
      <c r="M354" s="9">
        <f t="shared" si="2"/>
        <v>57.77927814</v>
      </c>
      <c r="N354" s="9">
        <f t="shared" si="3"/>
        <v>153.2</v>
      </c>
      <c r="O354" s="9">
        <f t="shared" si="4"/>
        <v>214</v>
      </c>
      <c r="P354" s="9">
        <f t="shared" si="6"/>
        <v>198.8</v>
      </c>
      <c r="Q354" s="9">
        <f t="shared" ref="Q354:R354" si="352">average(L348:L354)</f>
        <v>174.3142857</v>
      </c>
      <c r="R354" s="9">
        <f t="shared" si="352"/>
        <v>113.8133241</v>
      </c>
      <c r="S354" s="11">
        <v>53.71</v>
      </c>
      <c r="T354" s="11">
        <v>53.0325</v>
      </c>
      <c r="U354" s="12">
        <v>7.0</v>
      </c>
      <c r="V354" s="12"/>
      <c r="W354" s="12">
        <v>13.0</v>
      </c>
      <c r="X354" s="8">
        <v>22223.0</v>
      </c>
      <c r="Y354" s="8">
        <v>1592.0</v>
      </c>
      <c r="Z354" s="8">
        <v>1155.0</v>
      </c>
      <c r="AA354" s="8">
        <v>8.63</v>
      </c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 ht="15.75" customHeight="1">
      <c r="A355" s="6">
        <v>354.0</v>
      </c>
      <c r="B355" s="7">
        <v>49663.0</v>
      </c>
      <c r="C355" s="8">
        <v>48.7</v>
      </c>
      <c r="D355" s="8">
        <v>91.17</v>
      </c>
      <c r="E355" s="8">
        <v>77.14</v>
      </c>
      <c r="F355" s="8">
        <v>48.7</v>
      </c>
      <c r="G355" s="8">
        <v>91.17</v>
      </c>
      <c r="H355" s="8">
        <v>77.14</v>
      </c>
      <c r="I355" s="8">
        <v>20.0</v>
      </c>
      <c r="J355" s="8">
        <v>23.9</v>
      </c>
      <c r="K355" s="8">
        <v>81.4</v>
      </c>
      <c r="L355" s="9">
        <f t="shared" si="1"/>
        <v>117.4</v>
      </c>
      <c r="M355" s="9">
        <f t="shared" si="2"/>
        <v>72.39091601</v>
      </c>
      <c r="N355" s="9">
        <f t="shared" si="3"/>
        <v>97.8</v>
      </c>
      <c r="O355" s="9">
        <f t="shared" si="4"/>
        <v>153.2</v>
      </c>
      <c r="P355" s="9">
        <f t="shared" si="6"/>
        <v>137.6</v>
      </c>
      <c r="Q355" s="9">
        <f t="shared" ref="Q355:R355" si="353">average(L349:L355)</f>
        <v>162.6857143</v>
      </c>
      <c r="R355" s="9">
        <f t="shared" si="353"/>
        <v>105.0045935</v>
      </c>
      <c r="S355" s="11">
        <v>53.95</v>
      </c>
      <c r="T355" s="11">
        <v>51.964999999999996</v>
      </c>
      <c r="U355" s="12">
        <v>5.47</v>
      </c>
      <c r="V355" s="12"/>
      <c r="W355" s="12">
        <v>17.0</v>
      </c>
      <c r="X355" s="8">
        <v>17955.0</v>
      </c>
      <c r="Y355" s="8">
        <v>1524.0</v>
      </c>
      <c r="Z355" s="8">
        <v>1293.0</v>
      </c>
      <c r="AA355" s="8">
        <v>6.779</v>
      </c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 ht="15.75" customHeight="1">
      <c r="A356" s="6">
        <v>355.0</v>
      </c>
      <c r="B356" s="7">
        <v>49664.0</v>
      </c>
      <c r="C356" s="8">
        <v>92.3</v>
      </c>
      <c r="D356" s="8">
        <v>86.91</v>
      </c>
      <c r="E356" s="8">
        <v>78.25</v>
      </c>
      <c r="F356" s="8">
        <v>92.3</v>
      </c>
      <c r="G356" s="8">
        <v>86.91</v>
      </c>
      <c r="H356" s="8">
        <v>78.25</v>
      </c>
      <c r="I356" s="8">
        <v>20.0</v>
      </c>
      <c r="J356" s="8">
        <v>22.9</v>
      </c>
      <c r="K356" s="8">
        <v>75.9</v>
      </c>
      <c r="L356" s="9">
        <f t="shared" si="1"/>
        <v>204.6</v>
      </c>
      <c r="M356" s="9">
        <f t="shared" si="2"/>
        <v>129.0172805</v>
      </c>
      <c r="N356" s="9">
        <f t="shared" si="3"/>
        <v>117.4</v>
      </c>
      <c r="O356" s="9">
        <f t="shared" si="4"/>
        <v>97.8</v>
      </c>
      <c r="P356" s="9">
        <f t="shared" si="6"/>
        <v>212</v>
      </c>
      <c r="Q356" s="9">
        <f t="shared" ref="Q356:R356" si="354">average(L350:L356)</f>
        <v>172.2571429</v>
      </c>
      <c r="R356" s="9">
        <f t="shared" si="354"/>
        <v>110.8550745</v>
      </c>
      <c r="S356" s="11">
        <v>54.11</v>
      </c>
      <c r="T356" s="11">
        <v>52.265</v>
      </c>
      <c r="U356" s="12">
        <v>5.41</v>
      </c>
      <c r="V356" s="12"/>
      <c r="W356" s="12">
        <v>13.0</v>
      </c>
      <c r="X356" s="8">
        <v>16277.0</v>
      </c>
      <c r="Y356" s="8">
        <v>1600.0</v>
      </c>
      <c r="Z356" s="8">
        <v>1101.0</v>
      </c>
      <c r="AA356" s="8">
        <v>6.174</v>
      </c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 ht="15.75" customHeight="1">
      <c r="A357" s="6">
        <v>356.0</v>
      </c>
      <c r="B357" s="7">
        <v>49665.0</v>
      </c>
      <c r="C357" s="8">
        <v>95.4</v>
      </c>
      <c r="D357" s="8">
        <v>92.9</v>
      </c>
      <c r="E357" s="8">
        <v>81.42</v>
      </c>
      <c r="F357" s="8">
        <v>95.4</v>
      </c>
      <c r="G357" s="8">
        <v>92.9</v>
      </c>
      <c r="H357" s="8">
        <v>81.42</v>
      </c>
      <c r="I357" s="8">
        <v>20.0</v>
      </c>
      <c r="J357" s="8">
        <v>25.4</v>
      </c>
      <c r="K357" s="8">
        <v>80.7</v>
      </c>
      <c r="L357" s="9">
        <f t="shared" si="1"/>
        <v>210.8</v>
      </c>
      <c r="M357" s="9">
        <f t="shared" si="2"/>
        <v>148.4191154</v>
      </c>
      <c r="N357" s="9">
        <f t="shared" si="3"/>
        <v>204.6</v>
      </c>
      <c r="O357" s="9">
        <f t="shared" si="4"/>
        <v>117.4</v>
      </c>
      <c r="P357" s="9">
        <f t="shared" si="6"/>
        <v>206.8</v>
      </c>
      <c r="Q357" s="9">
        <f t="shared" ref="Q357:R357" si="355">average(L351:L357)</f>
        <v>172.0857143</v>
      </c>
      <c r="R357" s="9">
        <f t="shared" si="355"/>
        <v>111.6047302</v>
      </c>
      <c r="S357" s="11">
        <v>54.15</v>
      </c>
      <c r="T357" s="11">
        <v>51.8475</v>
      </c>
      <c r="U357" s="12">
        <v>8.03</v>
      </c>
      <c r="V357" s="12"/>
      <c r="W357" s="12">
        <v>13.0</v>
      </c>
      <c r="X357" s="8">
        <v>18367.0</v>
      </c>
      <c r="Y357" s="8">
        <v>1655.0</v>
      </c>
      <c r="Z357" s="8">
        <v>1032.0</v>
      </c>
      <c r="AA357" s="8">
        <v>7.015</v>
      </c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 ht="15.75" customHeight="1">
      <c r="A358" s="6">
        <v>357.0</v>
      </c>
      <c r="B358" s="7">
        <v>49666.0</v>
      </c>
      <c r="C358" s="8">
        <v>94.5</v>
      </c>
      <c r="D358" s="8">
        <v>89.37</v>
      </c>
      <c r="E358" s="8">
        <v>80.6</v>
      </c>
      <c r="F358" s="8">
        <v>94.5</v>
      </c>
      <c r="G358" s="8">
        <v>89.37</v>
      </c>
      <c r="H358" s="8">
        <v>80.6</v>
      </c>
      <c r="I358" s="8">
        <v>20.0</v>
      </c>
      <c r="J358" s="8">
        <v>27.5</v>
      </c>
      <c r="K358" s="8">
        <v>78.4</v>
      </c>
      <c r="L358" s="9">
        <f t="shared" si="1"/>
        <v>209</v>
      </c>
      <c r="M358" s="9">
        <f t="shared" si="2"/>
        <v>140.4528958</v>
      </c>
      <c r="N358" s="9">
        <f t="shared" si="3"/>
        <v>210.8</v>
      </c>
      <c r="O358" s="9">
        <f t="shared" si="4"/>
        <v>204.6</v>
      </c>
      <c r="P358" s="9">
        <f t="shared" si="6"/>
        <v>214</v>
      </c>
      <c r="Q358" s="9">
        <f t="shared" ref="Q358:R358" si="356">average(L352:L358)</f>
        <v>172.4</v>
      </c>
      <c r="R358" s="9">
        <f t="shared" si="356"/>
        <v>111.5265409</v>
      </c>
      <c r="S358" s="11">
        <v>54.44</v>
      </c>
      <c r="T358" s="11">
        <v>51.989999999999995</v>
      </c>
      <c r="U358" s="12">
        <v>6.57</v>
      </c>
      <c r="V358" s="12"/>
      <c r="W358" s="12">
        <v>14.0</v>
      </c>
      <c r="X358" s="8">
        <v>19823.0</v>
      </c>
      <c r="Y358" s="8">
        <v>1597.0</v>
      </c>
      <c r="Z358" s="8">
        <v>1092.0</v>
      </c>
      <c r="AA358" s="8">
        <v>7.678</v>
      </c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 ht="15.75" customHeight="1">
      <c r="A359" s="6">
        <v>358.0</v>
      </c>
      <c r="B359" s="7">
        <v>49667.0</v>
      </c>
      <c r="C359" s="8">
        <v>109.8</v>
      </c>
      <c r="D359" s="8">
        <v>92.92</v>
      </c>
      <c r="E359" s="8">
        <v>82.58</v>
      </c>
      <c r="F359" s="8">
        <v>109.8</v>
      </c>
      <c r="G359" s="8">
        <v>92.92</v>
      </c>
      <c r="H359" s="8">
        <v>82.58</v>
      </c>
      <c r="I359" s="8">
        <v>20.0</v>
      </c>
      <c r="J359" s="8">
        <v>28.9</v>
      </c>
      <c r="K359" s="8">
        <v>80.9</v>
      </c>
      <c r="L359" s="9">
        <f t="shared" si="1"/>
        <v>239.6</v>
      </c>
      <c r="M359" s="9">
        <f t="shared" si="2"/>
        <v>173.1824259</v>
      </c>
      <c r="N359" s="9">
        <f t="shared" si="3"/>
        <v>209</v>
      </c>
      <c r="O359" s="9">
        <f t="shared" si="4"/>
        <v>210.8</v>
      </c>
      <c r="P359" s="9">
        <f t="shared" si="6"/>
        <v>153.2</v>
      </c>
      <c r="Q359" s="9">
        <f t="shared" ref="Q359:R359" si="357">average(L353:L359)</f>
        <v>176.0571429</v>
      </c>
      <c r="R359" s="9">
        <f t="shared" si="357"/>
        <v>116.9182054</v>
      </c>
      <c r="S359" s="11">
        <v>54.3</v>
      </c>
      <c r="T359" s="11">
        <v>51.725</v>
      </c>
      <c r="U359" s="12">
        <v>7.46</v>
      </c>
      <c r="V359" s="12"/>
      <c r="W359" s="12">
        <v>14.0</v>
      </c>
      <c r="X359" s="8">
        <v>20085.0</v>
      </c>
      <c r="Y359" s="8">
        <v>1735.0</v>
      </c>
      <c r="Z359" s="8">
        <v>1042.0</v>
      </c>
      <c r="AA359" s="8">
        <v>7.641</v>
      </c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 ht="15.75" customHeight="1">
      <c r="A360" s="6">
        <v>359.0</v>
      </c>
      <c r="B360" s="7">
        <v>49668.0</v>
      </c>
      <c r="C360" s="8">
        <v>105.3</v>
      </c>
      <c r="D360" s="8">
        <v>80.92</v>
      </c>
      <c r="E360" s="8">
        <v>81.59</v>
      </c>
      <c r="F360" s="8">
        <v>105.3</v>
      </c>
      <c r="G360" s="8">
        <v>80.92</v>
      </c>
      <c r="H360" s="8">
        <v>81.59</v>
      </c>
      <c r="I360" s="8">
        <v>20.0</v>
      </c>
      <c r="J360" s="8">
        <v>37.4</v>
      </c>
      <c r="K360" s="8">
        <v>86.9</v>
      </c>
      <c r="L360" s="9">
        <f t="shared" si="1"/>
        <v>230.6</v>
      </c>
      <c r="M360" s="9">
        <f t="shared" si="2"/>
        <v>145.5437746</v>
      </c>
      <c r="N360" s="9">
        <f t="shared" si="3"/>
        <v>239.6</v>
      </c>
      <c r="O360" s="9">
        <f t="shared" si="4"/>
        <v>209</v>
      </c>
      <c r="P360" s="9">
        <f t="shared" si="6"/>
        <v>97.8</v>
      </c>
      <c r="Q360" s="9">
        <f t="shared" ref="Q360:R360" si="358">average(L354:L360)</f>
        <v>187.1142857</v>
      </c>
      <c r="R360" s="9">
        <f t="shared" si="358"/>
        <v>123.8265266</v>
      </c>
      <c r="S360" s="11">
        <v>54.74</v>
      </c>
      <c r="T360" s="11">
        <v>51.605</v>
      </c>
      <c r="U360" s="12">
        <v>8.07</v>
      </c>
      <c r="V360" s="12"/>
      <c r="W360" s="12">
        <v>16.0</v>
      </c>
      <c r="X360" s="8">
        <v>22093.0</v>
      </c>
      <c r="Y360" s="8">
        <v>1674.0</v>
      </c>
      <c r="Z360" s="8">
        <v>1155.0</v>
      </c>
      <c r="AA360" s="8">
        <v>8.553</v>
      </c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 ht="15.75" customHeight="1">
      <c r="A361" s="6">
        <v>360.0</v>
      </c>
      <c r="B361" s="7">
        <v>49669.0</v>
      </c>
      <c r="C361" s="8">
        <v>96.5</v>
      </c>
      <c r="D361" s="8">
        <v>96.43</v>
      </c>
      <c r="E361" s="8">
        <v>80.9</v>
      </c>
      <c r="F361" s="8">
        <v>96.5</v>
      </c>
      <c r="G361" s="8">
        <v>96.43</v>
      </c>
      <c r="H361" s="8">
        <v>80.9</v>
      </c>
      <c r="I361" s="8">
        <v>20.0</v>
      </c>
      <c r="J361" s="8">
        <v>26.5</v>
      </c>
      <c r="K361" s="8">
        <v>81.0</v>
      </c>
      <c r="L361" s="9">
        <f t="shared" si="1"/>
        <v>213</v>
      </c>
      <c r="M361" s="9">
        <f t="shared" si="2"/>
        <v>154.8559091</v>
      </c>
      <c r="N361" s="9">
        <f t="shared" si="3"/>
        <v>230.6</v>
      </c>
      <c r="O361" s="9">
        <f t="shared" si="4"/>
        <v>239.6</v>
      </c>
      <c r="P361" s="9">
        <f t="shared" si="6"/>
        <v>117.4</v>
      </c>
      <c r="Q361" s="9">
        <f t="shared" ref="Q361:R361" si="359">average(L355:L361)</f>
        <v>203.5714286</v>
      </c>
      <c r="R361" s="9">
        <f t="shared" si="359"/>
        <v>137.6946167</v>
      </c>
      <c r="S361" s="11">
        <v>54.76</v>
      </c>
      <c r="T361" s="11">
        <v>51.5375</v>
      </c>
      <c r="U361" s="12">
        <v>6.95</v>
      </c>
      <c r="V361" s="12"/>
      <c r="W361" s="12">
        <v>14.0</v>
      </c>
      <c r="X361" s="8">
        <v>22237.0</v>
      </c>
      <c r="Y361" s="8">
        <v>1681.0</v>
      </c>
      <c r="Z361" s="8">
        <v>1053.0</v>
      </c>
      <c r="AA361" s="8">
        <v>8.812</v>
      </c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 ht="15.75" customHeight="1">
      <c r="A362" s="6">
        <v>361.0</v>
      </c>
      <c r="B362" s="7">
        <v>49670.0</v>
      </c>
      <c r="C362" s="8">
        <v>91.3</v>
      </c>
      <c r="D362" s="8">
        <v>93.06</v>
      </c>
      <c r="E362" s="8">
        <v>82.32</v>
      </c>
      <c r="F362" s="8">
        <v>91.3</v>
      </c>
      <c r="G362" s="8">
        <v>93.06</v>
      </c>
      <c r="H362" s="8">
        <v>82.32</v>
      </c>
      <c r="I362" s="8">
        <v>20.0</v>
      </c>
      <c r="J362" s="8">
        <v>28.0</v>
      </c>
      <c r="K362" s="8">
        <v>82.6</v>
      </c>
      <c r="L362" s="9">
        <f t="shared" si="1"/>
        <v>202.6</v>
      </c>
      <c r="M362" s="9">
        <f t="shared" si="2"/>
        <v>144.5099674</v>
      </c>
      <c r="N362" s="9">
        <f t="shared" si="3"/>
        <v>213</v>
      </c>
      <c r="O362" s="9">
        <f t="shared" si="4"/>
        <v>230.6</v>
      </c>
      <c r="P362" s="9">
        <f t="shared" si="6"/>
        <v>204.6</v>
      </c>
      <c r="Q362" s="9">
        <f t="shared" ref="Q362:R362" si="360">average(L356:L362)</f>
        <v>215.7428571</v>
      </c>
      <c r="R362" s="9">
        <f t="shared" si="360"/>
        <v>147.9973384</v>
      </c>
      <c r="S362" s="11">
        <v>55.34</v>
      </c>
      <c r="T362" s="11">
        <v>51.699999999999996</v>
      </c>
      <c r="U362" s="12">
        <v>7.73</v>
      </c>
      <c r="V362" s="12"/>
      <c r="W362" s="12">
        <v>15.0</v>
      </c>
      <c r="X362" s="8">
        <v>23145.0</v>
      </c>
      <c r="Y362" s="8">
        <v>1590.0</v>
      </c>
      <c r="Z362" s="8">
        <v>1022.0</v>
      </c>
      <c r="AA362" s="8">
        <v>9.022</v>
      </c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 ht="15.75" customHeight="1">
      <c r="A363" s="6">
        <v>362.0</v>
      </c>
      <c r="B363" s="7">
        <v>49671.0</v>
      </c>
      <c r="C363" s="8">
        <v>62.0</v>
      </c>
      <c r="D363" s="8">
        <v>94.64</v>
      </c>
      <c r="E363" s="8">
        <v>81.94</v>
      </c>
      <c r="F363" s="8">
        <v>62.0</v>
      </c>
      <c r="G363" s="8">
        <v>94.64</v>
      </c>
      <c r="H363" s="8">
        <v>81.94</v>
      </c>
      <c r="I363" s="8">
        <v>20.0</v>
      </c>
      <c r="J363" s="8">
        <v>27.0</v>
      </c>
      <c r="K363" s="8">
        <v>82.7</v>
      </c>
      <c r="L363" s="9">
        <f t="shared" si="1"/>
        <v>144</v>
      </c>
      <c r="M363" s="9">
        <f t="shared" si="2"/>
        <v>100.6253398</v>
      </c>
      <c r="N363" s="9">
        <f t="shared" si="3"/>
        <v>202.6</v>
      </c>
      <c r="O363" s="9">
        <f t="shared" si="4"/>
        <v>213</v>
      </c>
      <c r="P363" s="9">
        <f t="shared" si="6"/>
        <v>210.8</v>
      </c>
      <c r="Q363" s="9">
        <f t="shared" ref="Q363:R363" si="361">average(L357:L363)</f>
        <v>207.0857143</v>
      </c>
      <c r="R363" s="9">
        <f t="shared" si="361"/>
        <v>143.9413469</v>
      </c>
      <c r="S363" s="11">
        <v>55.42</v>
      </c>
      <c r="T363" s="11">
        <v>52.15</v>
      </c>
      <c r="U363" s="12">
        <v>6.28</v>
      </c>
      <c r="V363" s="12"/>
      <c r="W363" s="12">
        <v>15.0</v>
      </c>
      <c r="X363" s="8">
        <v>21131.0</v>
      </c>
      <c r="Y363" s="8">
        <v>1430.0</v>
      </c>
      <c r="Z363" s="8">
        <v>960.0</v>
      </c>
      <c r="AA363" s="8">
        <v>8.204</v>
      </c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 ht="15.75" customHeight="1">
      <c r="A364" s="6">
        <v>363.0</v>
      </c>
      <c r="B364" s="7">
        <v>49672.0</v>
      </c>
      <c r="C364" s="8">
        <v>73.3</v>
      </c>
      <c r="D364" s="8">
        <v>94.25</v>
      </c>
      <c r="E364" s="8">
        <v>76.76</v>
      </c>
      <c r="F364" s="8">
        <v>73.3</v>
      </c>
      <c r="G364" s="8">
        <v>94.25</v>
      </c>
      <c r="H364" s="8">
        <v>76.76</v>
      </c>
      <c r="I364" s="8">
        <v>20.0</v>
      </c>
      <c r="J364" s="8">
        <v>26.0</v>
      </c>
      <c r="K364" s="8">
        <v>82.8</v>
      </c>
      <c r="L364" s="9">
        <f t="shared" si="1"/>
        <v>166.6</v>
      </c>
      <c r="M364" s="9">
        <f t="shared" si="2"/>
        <v>110.3652758</v>
      </c>
      <c r="N364" s="9">
        <f t="shared" si="3"/>
        <v>144</v>
      </c>
      <c r="O364" s="9">
        <f t="shared" si="4"/>
        <v>202.6</v>
      </c>
      <c r="P364" s="9">
        <f t="shared" si="6"/>
        <v>209</v>
      </c>
      <c r="Q364" s="9">
        <f t="shared" ref="Q364:R364" si="362">average(L358:L364)</f>
        <v>200.7714286</v>
      </c>
      <c r="R364" s="9">
        <f t="shared" si="362"/>
        <v>138.5050841</v>
      </c>
      <c r="S364" s="11">
        <v>55.42</v>
      </c>
      <c r="T364" s="11">
        <v>52.135</v>
      </c>
      <c r="U364" s="12">
        <v>4.74</v>
      </c>
      <c r="V364" s="12"/>
      <c r="W364" s="12">
        <v>20.0</v>
      </c>
      <c r="X364" s="8">
        <v>20370.0</v>
      </c>
      <c r="Y364" s="8">
        <v>1131.0</v>
      </c>
      <c r="Z364" s="8">
        <v>1002.0</v>
      </c>
      <c r="AA364" s="8">
        <v>8.286</v>
      </c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 ht="15.75" customHeight="1">
      <c r="A365" s="6">
        <v>364.0</v>
      </c>
      <c r="B365" s="7">
        <v>49673.0</v>
      </c>
      <c r="C365" s="8">
        <v>100.4</v>
      </c>
      <c r="D365" s="8">
        <v>88.37</v>
      </c>
      <c r="E365" s="8">
        <v>81.39</v>
      </c>
      <c r="F365" s="8">
        <v>100.4</v>
      </c>
      <c r="G365" s="8">
        <v>88.37</v>
      </c>
      <c r="H365" s="8">
        <v>81.39</v>
      </c>
      <c r="I365" s="8">
        <v>20.0</v>
      </c>
      <c r="J365" s="8">
        <v>26.8</v>
      </c>
      <c r="K365" s="8">
        <v>81.2</v>
      </c>
      <c r="L365" s="9">
        <f t="shared" si="1"/>
        <v>220.8</v>
      </c>
      <c r="M365" s="9">
        <f t="shared" si="2"/>
        <v>148.7764007</v>
      </c>
      <c r="N365" s="9">
        <f t="shared" si="3"/>
        <v>166.6</v>
      </c>
      <c r="O365" s="9">
        <f t="shared" si="4"/>
        <v>144</v>
      </c>
      <c r="P365" s="9">
        <f t="shared" si="6"/>
        <v>239.6</v>
      </c>
      <c r="Q365" s="9">
        <f t="shared" ref="Q365:R365" si="363">average(L359:L365)</f>
        <v>202.4571429</v>
      </c>
      <c r="R365" s="9">
        <f t="shared" si="363"/>
        <v>139.6941562</v>
      </c>
      <c r="S365" s="11">
        <v>54.28</v>
      </c>
      <c r="T365" s="11">
        <v>51.682500000000005</v>
      </c>
      <c r="U365" s="12">
        <v>6.57</v>
      </c>
      <c r="V365" s="12"/>
      <c r="W365" s="12">
        <v>15.0</v>
      </c>
      <c r="X365" s="8">
        <v>19094.0</v>
      </c>
      <c r="Y365" s="8">
        <v>1522.0</v>
      </c>
      <c r="Z365" s="8">
        <v>1082.0</v>
      </c>
      <c r="AA365" s="8">
        <v>7.671</v>
      </c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 ht="15.75" customHeight="1">
      <c r="A366" s="6">
        <v>365.0</v>
      </c>
      <c r="B366" s="7">
        <v>49674.0</v>
      </c>
      <c r="C366" s="8">
        <v>120.1</v>
      </c>
      <c r="D366" s="8">
        <v>91.31</v>
      </c>
      <c r="E366" s="8">
        <v>79.08</v>
      </c>
      <c r="F366" s="8">
        <v>120.1</v>
      </c>
      <c r="G366" s="8">
        <v>91.31</v>
      </c>
      <c r="H366" s="8">
        <v>79.08</v>
      </c>
      <c r="I366" s="8">
        <v>20.0</v>
      </c>
      <c r="J366" s="8">
        <v>38.3</v>
      </c>
      <c r="K366" s="8">
        <v>84.2</v>
      </c>
      <c r="L366" s="9">
        <f t="shared" si="1"/>
        <v>260.2</v>
      </c>
      <c r="M366" s="9">
        <f t="shared" si="2"/>
        <v>179.8932111</v>
      </c>
      <c r="N366" s="9">
        <f t="shared" si="3"/>
        <v>220.8</v>
      </c>
      <c r="O366" s="9">
        <f t="shared" si="4"/>
        <v>166.6</v>
      </c>
      <c r="P366" s="9">
        <f t="shared" si="6"/>
        <v>230.6</v>
      </c>
      <c r="Q366" s="9">
        <f t="shared" ref="Q366:R366" si="364">average(L360:L366)</f>
        <v>205.4</v>
      </c>
      <c r="R366" s="9">
        <f t="shared" si="364"/>
        <v>140.6528398</v>
      </c>
      <c r="S366" s="11">
        <v>54.28</v>
      </c>
      <c r="T366" s="11">
        <v>51.62499999999999</v>
      </c>
      <c r="U366" s="12">
        <v>7.83</v>
      </c>
      <c r="V366" s="12"/>
      <c r="W366" s="12">
        <v>15.0</v>
      </c>
      <c r="X366" s="8">
        <v>21122.0</v>
      </c>
      <c r="Y366" s="8">
        <v>1622.0</v>
      </c>
      <c r="Z366" s="8">
        <v>1006.0</v>
      </c>
      <c r="AA366" s="8">
        <v>8.406</v>
      </c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 ht="15.75" customHeight="1">
      <c r="A367" s="6">
        <v>366.0</v>
      </c>
      <c r="B367" s="7">
        <v>49675.0</v>
      </c>
      <c r="C367" s="8">
        <v>101.6</v>
      </c>
      <c r="D367" s="8">
        <v>90.16</v>
      </c>
      <c r="E367" s="8">
        <v>77.12</v>
      </c>
      <c r="F367" s="8">
        <v>101.6</v>
      </c>
      <c r="G367" s="8">
        <v>90.16</v>
      </c>
      <c r="H367" s="8">
        <v>77.12</v>
      </c>
      <c r="I367" s="8">
        <v>20.0</v>
      </c>
      <c r="J367" s="8">
        <v>34.5</v>
      </c>
      <c r="K367" s="8">
        <v>79.9</v>
      </c>
      <c r="L367" s="9">
        <f t="shared" si="1"/>
        <v>223.2</v>
      </c>
      <c r="M367" s="9">
        <f t="shared" si="2"/>
        <v>146.8008885</v>
      </c>
      <c r="N367" s="9">
        <f t="shared" si="3"/>
        <v>260.2</v>
      </c>
      <c r="O367" s="9">
        <f t="shared" si="4"/>
        <v>220.8</v>
      </c>
      <c r="P367" s="9">
        <f t="shared" si="6"/>
        <v>213</v>
      </c>
      <c r="Q367" s="9">
        <f t="shared" ref="Q367:R367" si="365">average(L361:L367)</f>
        <v>204.3428571</v>
      </c>
      <c r="R367" s="9">
        <f t="shared" si="365"/>
        <v>140.8324275</v>
      </c>
      <c r="S367" s="11">
        <v>52.84</v>
      </c>
      <c r="T367" s="11">
        <v>51.22</v>
      </c>
      <c r="U367" s="12">
        <v>8.84</v>
      </c>
      <c r="V367" s="12"/>
      <c r="W367" s="12">
        <v>13.0</v>
      </c>
      <c r="X367" s="8">
        <v>21667.0</v>
      </c>
      <c r="Y367" s="8">
        <v>1860.0</v>
      </c>
      <c r="Z367" s="8">
        <v>1048.0</v>
      </c>
      <c r="AA367" s="8">
        <v>8.717</v>
      </c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 ht="15.75" customHeight="1">
      <c r="A368" s="6">
        <v>367.0</v>
      </c>
      <c r="B368" s="7">
        <v>49676.0</v>
      </c>
      <c r="C368" s="8">
        <v>92.5</v>
      </c>
      <c r="D368" s="8">
        <v>95.11</v>
      </c>
      <c r="E368" s="8">
        <v>84.77</v>
      </c>
      <c r="F368" s="8">
        <v>92.5</v>
      </c>
      <c r="G368" s="8">
        <v>95.11</v>
      </c>
      <c r="H368" s="8">
        <v>84.77</v>
      </c>
      <c r="I368" s="8">
        <v>7.0</v>
      </c>
      <c r="J368" s="8">
        <v>35.7</v>
      </c>
      <c r="K368" s="8">
        <v>83.9</v>
      </c>
      <c r="L368" s="9">
        <f t="shared" si="1"/>
        <v>192</v>
      </c>
      <c r="M368" s="9">
        <f t="shared" si="2"/>
        <v>151.252443</v>
      </c>
      <c r="N368" s="9">
        <f t="shared" si="3"/>
        <v>223.2</v>
      </c>
      <c r="O368" s="9">
        <f t="shared" si="4"/>
        <v>260.2</v>
      </c>
      <c r="P368" s="9">
        <f t="shared" si="6"/>
        <v>202.6</v>
      </c>
      <c r="Q368" s="9">
        <f t="shared" ref="Q368:R368" si="366">average(L362:L368)</f>
        <v>201.3428571</v>
      </c>
      <c r="R368" s="9">
        <f t="shared" si="366"/>
        <v>140.3176466</v>
      </c>
      <c r="S368" s="11">
        <v>53.25</v>
      </c>
      <c r="T368" s="11">
        <v>51.0925</v>
      </c>
      <c r="U368" s="12">
        <v>6.97</v>
      </c>
      <c r="V368" s="12"/>
      <c r="W368" s="12">
        <v>14.0</v>
      </c>
      <c r="X368" s="8">
        <v>24623.0</v>
      </c>
      <c r="Y368" s="8">
        <v>1750.0</v>
      </c>
      <c r="Z368" s="8">
        <v>1292.0</v>
      </c>
      <c r="AA368" s="8">
        <v>9.816</v>
      </c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 ht="15.75" customHeight="1">
      <c r="A369" s="6">
        <v>368.0</v>
      </c>
      <c r="B369" s="7">
        <v>49677.0</v>
      </c>
      <c r="C369" s="8">
        <v>67.4</v>
      </c>
      <c r="D369" s="8">
        <v>96.68</v>
      </c>
      <c r="E369" s="8">
        <v>82.83</v>
      </c>
      <c r="F369" s="8">
        <v>67.4</v>
      </c>
      <c r="G369" s="8">
        <v>96.68</v>
      </c>
      <c r="H369" s="8">
        <v>82.83</v>
      </c>
      <c r="I369" s="8">
        <v>14.0</v>
      </c>
      <c r="J369" s="8">
        <v>36.8</v>
      </c>
      <c r="K369" s="8">
        <v>84.0</v>
      </c>
      <c r="L369" s="9">
        <f t="shared" si="1"/>
        <v>148.8</v>
      </c>
      <c r="M369" s="9">
        <f t="shared" si="2"/>
        <v>112.2755793</v>
      </c>
      <c r="N369" s="9">
        <f t="shared" si="3"/>
        <v>192</v>
      </c>
      <c r="O369" s="9">
        <f t="shared" si="4"/>
        <v>223.2</v>
      </c>
      <c r="P369" s="9">
        <f t="shared" si="6"/>
        <v>144</v>
      </c>
      <c r="Q369" s="9">
        <f t="shared" ref="Q369:R369" si="367">average(L363:L369)</f>
        <v>193.6571429</v>
      </c>
      <c r="R369" s="9">
        <f t="shared" si="367"/>
        <v>135.712734</v>
      </c>
      <c r="S369" s="11">
        <v>53.49</v>
      </c>
      <c r="T369" s="11">
        <v>51.45</v>
      </c>
      <c r="U369" s="12">
        <v>8.1</v>
      </c>
      <c r="V369" s="12"/>
      <c r="W369" s="12">
        <v>14.0</v>
      </c>
      <c r="X369" s="8">
        <v>20247.0</v>
      </c>
      <c r="Y369" s="8">
        <v>1505.0</v>
      </c>
      <c r="Z369" s="8">
        <v>873.0</v>
      </c>
      <c r="AA369" s="8">
        <v>8.15</v>
      </c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 ht="15.75" customHeight="1">
      <c r="A370" s="6">
        <v>369.0</v>
      </c>
      <c r="B370" s="7">
        <v>49678.0</v>
      </c>
      <c r="C370" s="8">
        <v>67.8</v>
      </c>
      <c r="D370" s="8">
        <v>96.13</v>
      </c>
      <c r="E370" s="8">
        <v>80.79</v>
      </c>
      <c r="F370" s="8">
        <v>67.8</v>
      </c>
      <c r="G370" s="8">
        <v>96.13</v>
      </c>
      <c r="H370" s="8">
        <v>80.79</v>
      </c>
      <c r="I370" s="8">
        <v>15.0</v>
      </c>
      <c r="J370" s="8">
        <v>32.3</v>
      </c>
      <c r="K370" s="8">
        <v>81.4</v>
      </c>
      <c r="L370" s="9">
        <f t="shared" si="1"/>
        <v>150.6</v>
      </c>
      <c r="M370" s="9">
        <f t="shared" si="2"/>
        <v>109.255437</v>
      </c>
      <c r="N370" s="9">
        <f t="shared" si="3"/>
        <v>148.8</v>
      </c>
      <c r="O370" s="9">
        <f t="shared" si="4"/>
        <v>192</v>
      </c>
      <c r="P370" s="9">
        <f t="shared" si="6"/>
        <v>166.6</v>
      </c>
      <c r="Q370" s="9">
        <f t="shared" ref="Q370:R370" si="368">average(L364:L370)</f>
        <v>194.6</v>
      </c>
      <c r="R370" s="9">
        <f t="shared" si="368"/>
        <v>136.9456051</v>
      </c>
      <c r="S370" s="11">
        <v>53.88</v>
      </c>
      <c r="T370" s="11">
        <v>51.875</v>
      </c>
      <c r="U370" s="12">
        <v>6.33</v>
      </c>
      <c r="V370" s="12"/>
      <c r="W370" s="12">
        <v>16.0</v>
      </c>
      <c r="X370" s="8">
        <v>27239.0</v>
      </c>
      <c r="Y370" s="8">
        <v>1432.0</v>
      </c>
      <c r="Z370" s="8">
        <v>758.0</v>
      </c>
      <c r="AA370" s="8">
        <v>11.053</v>
      </c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 ht="15.75" customHeight="1">
      <c r="A371" s="6">
        <v>370.0</v>
      </c>
      <c r="B371" s="7">
        <v>49679.0</v>
      </c>
      <c r="C371" s="8">
        <v>97.3</v>
      </c>
      <c r="D371" s="8">
        <v>95.33</v>
      </c>
      <c r="E371" s="8">
        <v>81.7</v>
      </c>
      <c r="F371" s="8">
        <v>97.3</v>
      </c>
      <c r="G371" s="8">
        <v>95.33</v>
      </c>
      <c r="H371" s="8">
        <v>81.7</v>
      </c>
      <c r="I371" s="8">
        <v>14.0</v>
      </c>
      <c r="J371" s="8">
        <v>34.3</v>
      </c>
      <c r="K371" s="8">
        <v>81.5</v>
      </c>
      <c r="L371" s="9">
        <f t="shared" si="1"/>
        <v>208.6</v>
      </c>
      <c r="M371" s="9">
        <f t="shared" si="2"/>
        <v>155.4770811</v>
      </c>
      <c r="N371" s="9">
        <f t="shared" si="3"/>
        <v>150.6</v>
      </c>
      <c r="O371" s="9">
        <f t="shared" si="4"/>
        <v>148.8</v>
      </c>
      <c r="P371" s="9">
        <f t="shared" si="6"/>
        <v>220.8</v>
      </c>
      <c r="Q371" s="9">
        <f t="shared" ref="Q371:R371" si="369">average(L365:L371)</f>
        <v>200.6</v>
      </c>
      <c r="R371" s="9">
        <f t="shared" si="369"/>
        <v>143.3901487</v>
      </c>
      <c r="S371" s="11">
        <v>54.9</v>
      </c>
      <c r="T371" s="11">
        <v>51.587500000000006</v>
      </c>
      <c r="U371" s="12">
        <v>9.08</v>
      </c>
      <c r="V371" s="12"/>
      <c r="W371" s="12">
        <v>12.0</v>
      </c>
      <c r="X371" s="8">
        <v>25770.0</v>
      </c>
      <c r="Y371" s="8">
        <v>1775.0</v>
      </c>
      <c r="Z371" s="8">
        <v>1090.0</v>
      </c>
      <c r="AA371" s="8">
        <v>9.959</v>
      </c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 ht="15.75" customHeight="1">
      <c r="A372" s="6">
        <v>371.0</v>
      </c>
      <c r="B372" s="7">
        <v>49680.0</v>
      </c>
      <c r="C372" s="8">
        <v>105.0</v>
      </c>
      <c r="D372" s="8">
        <v>95.12</v>
      </c>
      <c r="E372" s="8">
        <v>82.35</v>
      </c>
      <c r="F372" s="8">
        <v>105.0</v>
      </c>
      <c r="G372" s="8">
        <v>95.12</v>
      </c>
      <c r="H372" s="8">
        <v>82.35</v>
      </c>
      <c r="I372" s="8">
        <v>15.0</v>
      </c>
      <c r="J372" s="8">
        <v>33.3</v>
      </c>
      <c r="K372" s="8">
        <v>84.0</v>
      </c>
      <c r="L372" s="9">
        <f t="shared" si="1"/>
        <v>225</v>
      </c>
      <c r="M372" s="9">
        <f t="shared" si="2"/>
        <v>168.691572</v>
      </c>
      <c r="N372" s="9">
        <f t="shared" si="3"/>
        <v>208.6</v>
      </c>
      <c r="O372" s="9">
        <f t="shared" si="4"/>
        <v>150.6</v>
      </c>
      <c r="P372" s="9">
        <f t="shared" si="6"/>
        <v>260.2</v>
      </c>
      <c r="Q372" s="9">
        <f t="shared" ref="Q372:R372" si="370">average(L366:L372)</f>
        <v>201.2</v>
      </c>
      <c r="R372" s="9">
        <f t="shared" si="370"/>
        <v>146.2351731</v>
      </c>
      <c r="S372" s="11">
        <v>54.72</v>
      </c>
      <c r="T372" s="11">
        <v>51.61749999999999</v>
      </c>
      <c r="U372" s="12">
        <v>10.29</v>
      </c>
      <c r="V372" s="12"/>
      <c r="W372" s="12">
        <v>11.0</v>
      </c>
      <c r="X372" s="8">
        <v>25983.0</v>
      </c>
      <c r="Y372" s="8">
        <v>1893.0</v>
      </c>
      <c r="Z372" s="8">
        <v>1261.0</v>
      </c>
      <c r="AA372" s="8">
        <v>10.249</v>
      </c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 ht="15.75" customHeight="1">
      <c r="A373" s="6">
        <v>372.0</v>
      </c>
      <c r="B373" s="7">
        <v>49681.0</v>
      </c>
      <c r="C373" s="8">
        <v>106.2</v>
      </c>
      <c r="D373" s="8">
        <v>91.69</v>
      </c>
      <c r="E373" s="8">
        <v>80.95</v>
      </c>
      <c r="F373" s="8">
        <v>106.2</v>
      </c>
      <c r="G373" s="8">
        <v>91.69</v>
      </c>
      <c r="H373" s="8">
        <v>80.95</v>
      </c>
      <c r="I373" s="8">
        <v>15.0</v>
      </c>
      <c r="J373" s="8">
        <v>33.3</v>
      </c>
      <c r="K373" s="8">
        <v>84.0</v>
      </c>
      <c r="L373" s="9">
        <f t="shared" si="1"/>
        <v>227.4</v>
      </c>
      <c r="M373" s="9">
        <f t="shared" si="2"/>
        <v>161.8455688</v>
      </c>
      <c r="N373" s="9">
        <f t="shared" si="3"/>
        <v>225</v>
      </c>
      <c r="O373" s="9">
        <f t="shared" si="4"/>
        <v>208.6</v>
      </c>
      <c r="P373" s="9">
        <f t="shared" si="6"/>
        <v>223.2</v>
      </c>
      <c r="Q373" s="9">
        <f t="shared" ref="Q373:R373" si="371">average(L367:L373)</f>
        <v>196.5142857</v>
      </c>
      <c r="R373" s="9">
        <f t="shared" si="371"/>
        <v>143.6569385</v>
      </c>
      <c r="S373" s="11">
        <v>54.14</v>
      </c>
      <c r="T373" s="11">
        <v>51.769999999999996</v>
      </c>
      <c r="U373" s="12">
        <v>10.87</v>
      </c>
      <c r="V373" s="12"/>
      <c r="W373" s="12">
        <v>12.0</v>
      </c>
      <c r="X373" s="8">
        <v>27965.0</v>
      </c>
      <c r="Y373" s="8">
        <v>1867.0</v>
      </c>
      <c r="Z373" s="8">
        <v>1223.0</v>
      </c>
      <c r="AA373" s="8">
        <v>10.784</v>
      </c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 ht="15.75" customHeight="1">
      <c r="A374" s="6">
        <v>373.0</v>
      </c>
      <c r="B374" s="7">
        <v>49682.0</v>
      </c>
      <c r="C374" s="8">
        <v>107.0</v>
      </c>
      <c r="D374" s="8">
        <v>92.69</v>
      </c>
      <c r="E374" s="8">
        <v>81.0</v>
      </c>
      <c r="F374" s="8">
        <v>107.0</v>
      </c>
      <c r="G374" s="8">
        <v>92.69</v>
      </c>
      <c r="H374" s="8">
        <v>81.0</v>
      </c>
      <c r="I374" s="8">
        <v>16.0</v>
      </c>
      <c r="J374" s="8">
        <v>33.3</v>
      </c>
      <c r="K374" s="8">
        <v>84.0</v>
      </c>
      <c r="L374" s="9">
        <f t="shared" si="1"/>
        <v>230</v>
      </c>
      <c r="M374" s="9">
        <f t="shared" si="2"/>
        <v>165.144366</v>
      </c>
      <c r="N374" s="9">
        <f t="shared" si="3"/>
        <v>227.4</v>
      </c>
      <c r="O374" s="9">
        <f t="shared" si="4"/>
        <v>225</v>
      </c>
      <c r="P374" s="9">
        <f t="shared" si="6"/>
        <v>192</v>
      </c>
      <c r="Q374" s="9">
        <f t="shared" ref="Q374:R374" si="372">average(L368:L374)</f>
        <v>197.4857143</v>
      </c>
      <c r="R374" s="9">
        <f t="shared" si="372"/>
        <v>146.2774353</v>
      </c>
      <c r="S374" s="11">
        <v>53.78</v>
      </c>
      <c r="T374" s="11">
        <v>52.074999999999996</v>
      </c>
      <c r="U374" s="12">
        <v>9.73</v>
      </c>
      <c r="V374" s="12"/>
      <c r="W374" s="12">
        <v>11.0</v>
      </c>
      <c r="X374" s="8">
        <v>29045.0</v>
      </c>
      <c r="Y374" s="8">
        <v>1868.0</v>
      </c>
      <c r="Z374" s="8">
        <v>1206.0</v>
      </c>
      <c r="AA374" s="8">
        <v>11.265</v>
      </c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 ht="15.75" customHeight="1">
      <c r="A375" s="6">
        <v>374.0</v>
      </c>
      <c r="B375" s="7">
        <v>49683.0</v>
      </c>
      <c r="C375" s="8">
        <v>105.2</v>
      </c>
      <c r="D375" s="8">
        <v>92.21</v>
      </c>
      <c r="E375" s="8">
        <v>80.46</v>
      </c>
      <c r="F375" s="8">
        <v>105.2</v>
      </c>
      <c r="G375" s="8">
        <v>92.21</v>
      </c>
      <c r="H375" s="8">
        <v>80.46</v>
      </c>
      <c r="I375" s="8">
        <v>14.0</v>
      </c>
      <c r="J375" s="8">
        <v>25.2</v>
      </c>
      <c r="K375" s="8">
        <v>82.7</v>
      </c>
      <c r="L375" s="9">
        <f t="shared" si="1"/>
        <v>224.4</v>
      </c>
      <c r="M375" s="9">
        <f t="shared" si="2"/>
        <v>159.0179733</v>
      </c>
      <c r="N375" s="9">
        <f t="shared" si="3"/>
        <v>230</v>
      </c>
      <c r="O375" s="9">
        <f t="shared" si="4"/>
        <v>227.4</v>
      </c>
      <c r="P375" s="9">
        <f t="shared" si="6"/>
        <v>148.8</v>
      </c>
      <c r="Q375" s="9">
        <f t="shared" ref="Q375:R375" si="373">average(L369:L375)</f>
        <v>202.1142857</v>
      </c>
      <c r="R375" s="9">
        <f t="shared" si="373"/>
        <v>147.3867968</v>
      </c>
      <c r="S375" s="11">
        <v>54.53</v>
      </c>
      <c r="T375" s="11">
        <v>52.32</v>
      </c>
      <c r="U375" s="12">
        <v>9.75</v>
      </c>
      <c r="V375" s="12"/>
      <c r="W375" s="12">
        <v>12.0</v>
      </c>
      <c r="X375" s="8">
        <v>28500.0</v>
      </c>
      <c r="Y375" s="8">
        <v>1795.0</v>
      </c>
      <c r="Z375" s="8">
        <v>1208.0</v>
      </c>
      <c r="AA375" s="8">
        <v>11.301</v>
      </c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 ht="15.75" customHeight="1">
      <c r="A376" s="6">
        <v>375.0</v>
      </c>
      <c r="B376" s="7">
        <v>49684.0</v>
      </c>
      <c r="C376" s="8">
        <v>19.3</v>
      </c>
      <c r="D376" s="8">
        <v>90.86</v>
      </c>
      <c r="E376" s="8">
        <v>80.98</v>
      </c>
      <c r="F376" s="8">
        <v>19.3</v>
      </c>
      <c r="G376" s="8">
        <v>90.86</v>
      </c>
      <c r="H376" s="8">
        <v>80.98</v>
      </c>
      <c r="I376" s="8">
        <v>14.0</v>
      </c>
      <c r="J376" s="8">
        <v>25.3</v>
      </c>
      <c r="K376" s="8">
        <v>82.7</v>
      </c>
      <c r="L376" s="9">
        <f t="shared" si="1"/>
        <v>52.6</v>
      </c>
      <c r="M376" s="9">
        <f t="shared" si="2"/>
        <v>31.33050721</v>
      </c>
      <c r="N376" s="9">
        <f t="shared" si="3"/>
        <v>224.4</v>
      </c>
      <c r="O376" s="9">
        <f t="shared" si="4"/>
        <v>230</v>
      </c>
      <c r="P376" s="9">
        <f t="shared" si="6"/>
        <v>150.6</v>
      </c>
      <c r="Q376" s="9">
        <f t="shared" ref="Q376:R376" si="374">average(L370:L376)</f>
        <v>188.3714286</v>
      </c>
      <c r="R376" s="9">
        <f t="shared" si="374"/>
        <v>135.8232151</v>
      </c>
      <c r="S376" s="11">
        <v>53.22</v>
      </c>
      <c r="T376" s="11">
        <v>51.879999999999995</v>
      </c>
      <c r="U376" s="12">
        <v>3.58</v>
      </c>
      <c r="V376" s="12"/>
      <c r="W376" s="12">
        <v>21.0</v>
      </c>
      <c r="X376" s="8">
        <v>19280.0</v>
      </c>
      <c r="Y376" s="8">
        <v>920.0</v>
      </c>
      <c r="Z376" s="8">
        <v>713.0</v>
      </c>
      <c r="AA376" s="8">
        <v>8.484</v>
      </c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 ht="15.75" customHeight="1">
      <c r="A377" s="6">
        <v>376.0</v>
      </c>
      <c r="B377" s="7">
        <v>49685.0</v>
      </c>
      <c r="C377" s="8">
        <v>65.6</v>
      </c>
      <c r="D377" s="8">
        <v>91.32</v>
      </c>
      <c r="E377" s="8">
        <v>80.02</v>
      </c>
      <c r="F377" s="8">
        <v>65.6</v>
      </c>
      <c r="G377" s="8">
        <v>91.32</v>
      </c>
      <c r="H377" s="8">
        <v>80.02</v>
      </c>
      <c r="I377" s="8">
        <v>14.0</v>
      </c>
      <c r="J377" s="8">
        <v>27.1</v>
      </c>
      <c r="K377" s="8">
        <v>82.5</v>
      </c>
      <c r="L377" s="9">
        <f t="shared" si="1"/>
        <v>145.2</v>
      </c>
      <c r="M377" s="9">
        <f t="shared" si="2"/>
        <v>99.00348437</v>
      </c>
      <c r="N377" s="9">
        <f t="shared" si="3"/>
        <v>52.6</v>
      </c>
      <c r="O377" s="9">
        <f t="shared" si="4"/>
        <v>224.4</v>
      </c>
      <c r="P377" s="9">
        <f t="shared" si="6"/>
        <v>208.6</v>
      </c>
      <c r="Q377" s="9">
        <f t="shared" ref="Q377:R377" si="375">average(L371:L377)</f>
        <v>187.6</v>
      </c>
      <c r="R377" s="9">
        <f t="shared" si="375"/>
        <v>134.3586504</v>
      </c>
      <c r="S377" s="11">
        <v>51.23</v>
      </c>
      <c r="T377" s="11">
        <v>51.5225</v>
      </c>
      <c r="U377" s="12">
        <v>8.7</v>
      </c>
      <c r="V377" s="12"/>
      <c r="W377" s="12">
        <v>12.0</v>
      </c>
      <c r="X377" s="8">
        <v>24034.0</v>
      </c>
      <c r="Y377" s="8">
        <v>1770.0</v>
      </c>
      <c r="Z377" s="8">
        <v>708.0</v>
      </c>
      <c r="AA377" s="8">
        <v>9.555</v>
      </c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 ht="15.75" customHeight="1">
      <c r="A378" s="6">
        <v>377.0</v>
      </c>
      <c r="B378" s="7">
        <v>49686.0</v>
      </c>
      <c r="C378" s="8">
        <v>81.8</v>
      </c>
      <c r="D378" s="8">
        <v>91.75</v>
      </c>
      <c r="E378" s="8">
        <v>82.07</v>
      </c>
      <c r="F378" s="8">
        <v>81.8</v>
      </c>
      <c r="G378" s="8">
        <v>91.75</v>
      </c>
      <c r="H378" s="8">
        <v>82.07</v>
      </c>
      <c r="I378" s="8">
        <v>21.0</v>
      </c>
      <c r="J378" s="8">
        <v>27.1</v>
      </c>
      <c r="K378" s="8">
        <v>82.5</v>
      </c>
      <c r="L378" s="9">
        <f t="shared" si="1"/>
        <v>184.6</v>
      </c>
      <c r="M378" s="9">
        <f t="shared" si="2"/>
        <v>127.8846071</v>
      </c>
      <c r="N378" s="9">
        <f t="shared" si="3"/>
        <v>145.2</v>
      </c>
      <c r="O378" s="9">
        <f t="shared" si="4"/>
        <v>52.6</v>
      </c>
      <c r="P378" s="9">
        <f t="shared" si="6"/>
        <v>225</v>
      </c>
      <c r="Q378" s="9">
        <f t="shared" ref="Q378:R378" si="376">average(L372:L378)</f>
        <v>184.1714286</v>
      </c>
      <c r="R378" s="9">
        <f t="shared" si="376"/>
        <v>130.4168684</v>
      </c>
      <c r="S378" s="11">
        <v>52.21</v>
      </c>
      <c r="T378" s="11">
        <v>51.3275</v>
      </c>
      <c r="U378" s="12">
        <v>7.93</v>
      </c>
      <c r="V378" s="12"/>
      <c r="W378" s="12">
        <v>14.0</v>
      </c>
      <c r="X378" s="8">
        <v>21700.0</v>
      </c>
      <c r="Y378" s="8">
        <v>1669.0</v>
      </c>
      <c r="Z378" s="8">
        <v>836.0</v>
      </c>
      <c r="AA378" s="8">
        <v>8.033</v>
      </c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 ht="15.75" customHeight="1">
      <c r="A379" s="6">
        <v>378.0</v>
      </c>
      <c r="B379" s="7">
        <v>49687.0</v>
      </c>
      <c r="C379" s="8">
        <v>70.1</v>
      </c>
      <c r="D379" s="8">
        <v>92.5</v>
      </c>
      <c r="E379" s="8">
        <v>79.41</v>
      </c>
      <c r="F379" s="8">
        <v>70.1</v>
      </c>
      <c r="G379" s="8">
        <v>92.5</v>
      </c>
      <c r="H379" s="8">
        <v>79.41</v>
      </c>
      <c r="I379" s="8">
        <v>17.0</v>
      </c>
      <c r="J379" s="8">
        <v>21.6</v>
      </c>
      <c r="K379" s="8">
        <v>80.7</v>
      </c>
      <c r="L379" s="9">
        <f t="shared" si="1"/>
        <v>157.2</v>
      </c>
      <c r="M379" s="9">
        <f t="shared" si="2"/>
        <v>105.9461625</v>
      </c>
      <c r="N379" s="9">
        <f t="shared" si="3"/>
        <v>184.6</v>
      </c>
      <c r="O379" s="9">
        <f t="shared" si="4"/>
        <v>145.2</v>
      </c>
      <c r="P379" s="9">
        <f t="shared" si="6"/>
        <v>227.4</v>
      </c>
      <c r="Q379" s="9">
        <f t="shared" ref="Q379:R379" si="377">average(L373:L379)</f>
        <v>174.4857143</v>
      </c>
      <c r="R379" s="9">
        <f t="shared" si="377"/>
        <v>121.4532385</v>
      </c>
      <c r="S379" s="11">
        <v>52.79</v>
      </c>
      <c r="T379" s="11">
        <v>51.2025</v>
      </c>
      <c r="U379" s="12">
        <v>7.81</v>
      </c>
      <c r="V379" s="12"/>
      <c r="W379" s="12">
        <v>13.0</v>
      </c>
      <c r="X379" s="8">
        <v>22006.0</v>
      </c>
      <c r="Y379" s="8">
        <v>1783.0</v>
      </c>
      <c r="Z379" s="8">
        <v>1077.2</v>
      </c>
      <c r="AA379" s="8">
        <v>8.288</v>
      </c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 ht="15.75" customHeight="1">
      <c r="A380" s="6">
        <v>379.0</v>
      </c>
      <c r="B380" s="7">
        <v>49688.0</v>
      </c>
      <c r="C380" s="8">
        <v>79.5</v>
      </c>
      <c r="D380" s="8">
        <v>92.71</v>
      </c>
      <c r="E380" s="8">
        <v>79.26</v>
      </c>
      <c r="F380" s="8">
        <v>79.5</v>
      </c>
      <c r="G380" s="8">
        <v>92.71</v>
      </c>
      <c r="H380" s="8">
        <v>79.26</v>
      </c>
      <c r="I380" s="8">
        <v>16.0</v>
      </c>
      <c r="J380" s="8">
        <v>32.0</v>
      </c>
      <c r="K380" s="8">
        <v>85.1</v>
      </c>
      <c r="L380" s="9">
        <f t="shared" si="1"/>
        <v>175</v>
      </c>
      <c r="M380" s="9">
        <f t="shared" si="2"/>
        <v>121.1934141</v>
      </c>
      <c r="N380" s="9">
        <f t="shared" si="3"/>
        <v>157.2</v>
      </c>
      <c r="O380" s="9">
        <f t="shared" si="4"/>
        <v>184.6</v>
      </c>
      <c r="P380" s="9">
        <f t="shared" si="6"/>
        <v>230</v>
      </c>
      <c r="Q380" s="9">
        <f t="shared" ref="Q380:R380" si="378">average(L374:L380)</f>
        <v>167</v>
      </c>
      <c r="R380" s="9">
        <f t="shared" si="378"/>
        <v>115.6457878</v>
      </c>
      <c r="S380" s="11">
        <v>53.2</v>
      </c>
      <c r="T380" s="11">
        <v>51.230000000000004</v>
      </c>
      <c r="U380" s="12">
        <v>7.45</v>
      </c>
      <c r="V380" s="12"/>
      <c r="W380" s="12">
        <v>13.0</v>
      </c>
      <c r="X380" s="8">
        <v>21545.0</v>
      </c>
      <c r="Y380" s="8">
        <v>1637.0</v>
      </c>
      <c r="Z380" s="8">
        <v>1086.0</v>
      </c>
      <c r="AA380" s="8">
        <v>7.615</v>
      </c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 ht="15.75" customHeight="1">
      <c r="A381" s="6">
        <v>380.0</v>
      </c>
      <c r="B381" s="7">
        <v>49689.0</v>
      </c>
      <c r="C381" s="8">
        <v>90.5</v>
      </c>
      <c r="D381" s="8">
        <v>93.66</v>
      </c>
      <c r="E381" s="8">
        <v>76.13</v>
      </c>
      <c r="F381" s="8">
        <v>90.5</v>
      </c>
      <c r="G381" s="8">
        <v>93.66</v>
      </c>
      <c r="H381" s="8">
        <v>76.13</v>
      </c>
      <c r="I381" s="8">
        <v>14.0</v>
      </c>
      <c r="J381" s="8">
        <v>32.5</v>
      </c>
      <c r="K381" s="8">
        <v>85.1</v>
      </c>
      <c r="L381" s="9">
        <f t="shared" si="1"/>
        <v>195</v>
      </c>
      <c r="M381" s="9">
        <f t="shared" si="2"/>
        <v>132.931128</v>
      </c>
      <c r="N381" s="9">
        <f t="shared" si="3"/>
        <v>175</v>
      </c>
      <c r="O381" s="9">
        <f t="shared" si="4"/>
        <v>157.2</v>
      </c>
      <c r="P381" s="9">
        <f t="shared" si="6"/>
        <v>224.4</v>
      </c>
      <c r="Q381" s="9">
        <f t="shared" ref="Q381:R381" si="379">average(L375:L381)</f>
        <v>162</v>
      </c>
      <c r="R381" s="9">
        <f t="shared" si="379"/>
        <v>111.0438967</v>
      </c>
      <c r="S381" s="11">
        <v>52.91</v>
      </c>
      <c r="T381" s="11">
        <v>51.265</v>
      </c>
      <c r="U381" s="12">
        <v>8.07</v>
      </c>
      <c r="V381" s="12"/>
      <c r="W381" s="12">
        <v>13.0</v>
      </c>
      <c r="X381" s="8">
        <v>20140.0</v>
      </c>
      <c r="Y381" s="8">
        <v>1675.0</v>
      </c>
      <c r="Z381" s="8">
        <v>1033.0</v>
      </c>
      <c r="AA381" s="8">
        <v>7.497</v>
      </c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 ht="15.75" customHeight="1">
      <c r="A382" s="6">
        <v>381.0</v>
      </c>
      <c r="B382" s="7">
        <v>49690.0</v>
      </c>
      <c r="C382" s="8">
        <v>105.9</v>
      </c>
      <c r="D382" s="8">
        <v>91.4</v>
      </c>
      <c r="E382" s="8">
        <v>78.46</v>
      </c>
      <c r="F382" s="8">
        <v>105.9</v>
      </c>
      <c r="G382" s="8">
        <v>91.4</v>
      </c>
      <c r="H382" s="8">
        <v>78.46</v>
      </c>
      <c r="I382" s="8">
        <v>13.0</v>
      </c>
      <c r="J382" s="8">
        <v>29.9</v>
      </c>
      <c r="K382" s="8">
        <v>85.8</v>
      </c>
      <c r="L382" s="9">
        <f t="shared" si="1"/>
        <v>224.8</v>
      </c>
      <c r="M382" s="9">
        <f t="shared" si="2"/>
        <v>155.2219939</v>
      </c>
      <c r="N382" s="9">
        <f t="shared" si="3"/>
        <v>195</v>
      </c>
      <c r="O382" s="9">
        <f t="shared" si="4"/>
        <v>175</v>
      </c>
      <c r="P382" s="9">
        <f t="shared" si="6"/>
        <v>52.6</v>
      </c>
      <c r="Q382" s="9">
        <f t="shared" ref="Q382:R382" si="380">average(L376:L382)</f>
        <v>162.0571429</v>
      </c>
      <c r="R382" s="9">
        <f t="shared" si="380"/>
        <v>110.5016139</v>
      </c>
      <c r="S382" s="11">
        <v>52.77</v>
      </c>
      <c r="T382" s="11">
        <v>51.040000000000006</v>
      </c>
      <c r="U382" s="12">
        <v>8.88</v>
      </c>
      <c r="V382" s="12"/>
      <c r="W382" s="12">
        <v>13.0</v>
      </c>
      <c r="X382" s="8">
        <v>21918.0</v>
      </c>
      <c r="Y382" s="8">
        <v>1850.0</v>
      </c>
      <c r="Z382" s="8">
        <v>1104.0</v>
      </c>
      <c r="AA382" s="8">
        <v>8.418</v>
      </c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 ht="15.75" customHeight="1">
      <c r="A383" s="6">
        <v>382.0</v>
      </c>
      <c r="B383" s="7">
        <v>49691.0</v>
      </c>
      <c r="C383" s="8">
        <v>101.8</v>
      </c>
      <c r="D383" s="8">
        <v>91.51</v>
      </c>
      <c r="E383" s="8">
        <v>78.46</v>
      </c>
      <c r="F383" s="8">
        <v>101.8</v>
      </c>
      <c r="G383" s="8">
        <v>91.51</v>
      </c>
      <c r="H383" s="8">
        <v>78.46</v>
      </c>
      <c r="I383" s="8">
        <v>18.0</v>
      </c>
      <c r="J383" s="8">
        <v>37.3</v>
      </c>
      <c r="K383" s="8">
        <v>85.8</v>
      </c>
      <c r="L383" s="9">
        <f t="shared" si="1"/>
        <v>221.6</v>
      </c>
      <c r="M383" s="9">
        <f t="shared" si="2"/>
        <v>151.9428589</v>
      </c>
      <c r="N383" s="9">
        <f t="shared" si="3"/>
        <v>224.8</v>
      </c>
      <c r="O383" s="9">
        <f t="shared" si="4"/>
        <v>195</v>
      </c>
      <c r="P383" s="9">
        <f t="shared" si="6"/>
        <v>145.2</v>
      </c>
      <c r="Q383" s="9">
        <f t="shared" ref="Q383:R383" si="381">average(L377:L383)</f>
        <v>186.2</v>
      </c>
      <c r="R383" s="9">
        <f t="shared" si="381"/>
        <v>127.7319498</v>
      </c>
      <c r="S383" s="11">
        <v>53.01</v>
      </c>
      <c r="T383" s="11">
        <v>51.9925</v>
      </c>
      <c r="U383" s="12">
        <v>8.46</v>
      </c>
      <c r="V383" s="12"/>
      <c r="W383" s="12">
        <v>13.0</v>
      </c>
      <c r="X383" s="8">
        <v>23789.0</v>
      </c>
      <c r="Y383" s="8">
        <v>1760.0</v>
      </c>
      <c r="Z383" s="8">
        <v>1180.0</v>
      </c>
      <c r="AA383" s="8">
        <v>9.272</v>
      </c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 ht="15.75" customHeight="1">
      <c r="A384" s="6">
        <v>383.0</v>
      </c>
      <c r="B384" s="7">
        <v>49692.0</v>
      </c>
      <c r="C384" s="8">
        <v>98.8</v>
      </c>
      <c r="D384" s="8">
        <v>91.51</v>
      </c>
      <c r="E384" s="8">
        <v>78.46</v>
      </c>
      <c r="F384" s="8">
        <v>98.8</v>
      </c>
      <c r="G384" s="8">
        <v>91.51</v>
      </c>
      <c r="H384" s="8">
        <v>78.46</v>
      </c>
      <c r="I384" s="8">
        <v>14.0</v>
      </c>
      <c r="J384" s="8">
        <v>32.5</v>
      </c>
      <c r="K384" s="8">
        <v>85.8</v>
      </c>
      <c r="L384" s="9">
        <f t="shared" si="1"/>
        <v>211.6</v>
      </c>
      <c r="M384" s="9">
        <f t="shared" si="2"/>
        <v>145.7782221</v>
      </c>
      <c r="N384" s="9">
        <f t="shared" si="3"/>
        <v>221.6</v>
      </c>
      <c r="O384" s="9">
        <f t="shared" si="4"/>
        <v>224.8</v>
      </c>
      <c r="P384" s="9">
        <f t="shared" si="6"/>
        <v>184.6</v>
      </c>
      <c r="Q384" s="9">
        <f t="shared" ref="Q384:R384" si="382">average(L378:L384)</f>
        <v>195.6857143</v>
      </c>
      <c r="R384" s="9">
        <f t="shared" si="382"/>
        <v>134.4140552</v>
      </c>
      <c r="S384" s="11">
        <v>52.17</v>
      </c>
      <c r="T384" s="11">
        <v>51.699999999999996</v>
      </c>
      <c r="U384" s="12">
        <v>7.13</v>
      </c>
      <c r="V384" s="12"/>
      <c r="W384" s="12">
        <v>14.0</v>
      </c>
      <c r="X384" s="8">
        <v>21972.0</v>
      </c>
      <c r="Y384" s="8">
        <v>1665.0</v>
      </c>
      <c r="Z384" s="8">
        <v>1087.0</v>
      </c>
      <c r="AA384" s="8">
        <v>8.18</v>
      </c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 ht="15.75" customHeight="1">
      <c r="A385" s="6">
        <v>384.0</v>
      </c>
      <c r="B385" s="7">
        <v>49693.0</v>
      </c>
      <c r="C385" s="8">
        <v>78.3</v>
      </c>
      <c r="D385" s="8">
        <v>84.5</v>
      </c>
      <c r="E385" s="8">
        <v>80.24</v>
      </c>
      <c r="F385" s="8">
        <v>78.3</v>
      </c>
      <c r="G385" s="8">
        <v>84.5</v>
      </c>
      <c r="H385" s="8">
        <v>80.24</v>
      </c>
      <c r="I385" s="8">
        <v>11.0</v>
      </c>
      <c r="J385" s="8">
        <v>28.4</v>
      </c>
      <c r="K385" s="8">
        <v>84.6</v>
      </c>
      <c r="L385" s="9">
        <f t="shared" si="1"/>
        <v>167.6</v>
      </c>
      <c r="M385" s="9">
        <f t="shared" si="2"/>
        <v>108.8220888</v>
      </c>
      <c r="N385" s="9">
        <f t="shared" si="3"/>
        <v>211.6</v>
      </c>
      <c r="O385" s="9">
        <f t="shared" si="4"/>
        <v>221.6</v>
      </c>
      <c r="P385" s="9">
        <f t="shared" si="6"/>
        <v>157.2</v>
      </c>
      <c r="Q385" s="9">
        <f t="shared" ref="Q385:R385" si="383">average(L379:L385)</f>
        <v>193.2571429</v>
      </c>
      <c r="R385" s="9">
        <f t="shared" si="383"/>
        <v>131.6908383</v>
      </c>
      <c r="S385" s="11">
        <v>52.19</v>
      </c>
      <c r="T385" s="11">
        <v>51.879999999999995</v>
      </c>
      <c r="U385" s="12">
        <v>7.53</v>
      </c>
      <c r="V385" s="12"/>
      <c r="W385" s="12">
        <v>13.0</v>
      </c>
      <c r="X385" s="8">
        <v>22475.0</v>
      </c>
      <c r="Y385" s="8">
        <v>1675.0</v>
      </c>
      <c r="Z385" s="8">
        <v>942.0</v>
      </c>
      <c r="AA385" s="8">
        <v>8.501</v>
      </c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 ht="15.75" customHeight="1">
      <c r="A386" s="6">
        <v>385.0</v>
      </c>
      <c r="B386" s="7">
        <v>49694.0</v>
      </c>
      <c r="C386" s="8">
        <v>98.0</v>
      </c>
      <c r="D386" s="8">
        <v>97.01</v>
      </c>
      <c r="E386" s="8">
        <v>76.76</v>
      </c>
      <c r="F386" s="8">
        <v>98.0</v>
      </c>
      <c r="G386" s="8">
        <v>97.01</v>
      </c>
      <c r="H386" s="8">
        <v>76.76</v>
      </c>
      <c r="I386" s="8">
        <v>15.0</v>
      </c>
      <c r="J386" s="8">
        <v>34.6</v>
      </c>
      <c r="K386" s="8">
        <v>85.2</v>
      </c>
      <c r="L386" s="9">
        <f t="shared" si="1"/>
        <v>211</v>
      </c>
      <c r="M386" s="9">
        <f t="shared" si="2"/>
        <v>150.373037</v>
      </c>
      <c r="N386" s="9">
        <f t="shared" si="3"/>
        <v>167.6</v>
      </c>
      <c r="O386" s="9">
        <f t="shared" si="4"/>
        <v>211.6</v>
      </c>
      <c r="P386" s="9">
        <f t="shared" si="6"/>
        <v>175</v>
      </c>
      <c r="Q386" s="9">
        <f t="shared" ref="Q386:R386" si="384">average(L380:L386)</f>
        <v>200.9428571</v>
      </c>
      <c r="R386" s="9">
        <f t="shared" si="384"/>
        <v>138.0375347</v>
      </c>
      <c r="S386" s="11">
        <v>52.3</v>
      </c>
      <c r="T386" s="11">
        <v>51.225</v>
      </c>
      <c r="U386" s="12">
        <v>8.52</v>
      </c>
      <c r="V386" s="12"/>
      <c r="W386" s="12">
        <v>19.0</v>
      </c>
      <c r="X386" s="8">
        <v>23420.0</v>
      </c>
      <c r="Y386" s="8">
        <v>1520.0</v>
      </c>
      <c r="Z386" s="8">
        <v>517.0</v>
      </c>
      <c r="AA386" s="8">
        <v>8.644</v>
      </c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 ht="15.75" customHeight="1">
      <c r="A387" s="6">
        <v>386.0</v>
      </c>
      <c r="B387" s="7">
        <v>49695.0</v>
      </c>
      <c r="C387" s="8">
        <v>91.3</v>
      </c>
      <c r="D387" s="8">
        <v>90.9</v>
      </c>
      <c r="E387" s="8">
        <v>80.33</v>
      </c>
      <c r="F387" s="8">
        <v>91.3</v>
      </c>
      <c r="G387" s="8">
        <v>90.9</v>
      </c>
      <c r="H387" s="8">
        <v>80.33</v>
      </c>
      <c r="I387" s="8">
        <v>11.0</v>
      </c>
      <c r="J387" s="8">
        <v>31.4</v>
      </c>
      <c r="K387" s="8">
        <v>83.2</v>
      </c>
      <c r="L387" s="9">
        <f t="shared" si="1"/>
        <v>193.6</v>
      </c>
      <c r="M387" s="9">
        <f t="shared" si="2"/>
        <v>136.2081932</v>
      </c>
      <c r="N387" s="9">
        <f t="shared" si="3"/>
        <v>211</v>
      </c>
      <c r="O387" s="9">
        <f t="shared" si="4"/>
        <v>167.6</v>
      </c>
      <c r="P387" s="9">
        <f t="shared" si="6"/>
        <v>195</v>
      </c>
      <c r="Q387" s="9">
        <f t="shared" ref="Q387:R387" si="385">average(L381:L387)</f>
        <v>203.6</v>
      </c>
      <c r="R387" s="9">
        <f t="shared" si="385"/>
        <v>140.1825031</v>
      </c>
      <c r="S387" s="11">
        <v>52.58</v>
      </c>
      <c r="T387" s="11">
        <v>51.80500000000001</v>
      </c>
      <c r="U387" s="12">
        <v>9.16</v>
      </c>
      <c r="V387" s="12"/>
      <c r="W387" s="12">
        <v>15.0</v>
      </c>
      <c r="X387" s="8">
        <v>24158.0</v>
      </c>
      <c r="Y387" s="8">
        <v>1698.0</v>
      </c>
      <c r="Z387" s="8">
        <v>1098.0</v>
      </c>
      <c r="AA387" s="8">
        <v>8.722</v>
      </c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 ht="15.75" customHeight="1">
      <c r="A388" s="6">
        <v>387.0</v>
      </c>
      <c r="B388" s="7">
        <v>49696.0</v>
      </c>
      <c r="C388" s="8">
        <v>101.0</v>
      </c>
      <c r="D388" s="8">
        <v>89.54</v>
      </c>
      <c r="E388" s="8">
        <v>82.46</v>
      </c>
      <c r="F388" s="8">
        <v>101.0</v>
      </c>
      <c r="G388" s="8">
        <v>89.54</v>
      </c>
      <c r="H388" s="8">
        <v>82.46</v>
      </c>
      <c r="I388" s="8">
        <v>14.0</v>
      </c>
      <c r="J388" s="8">
        <v>24.0</v>
      </c>
      <c r="K388" s="8">
        <v>83.0</v>
      </c>
      <c r="L388" s="9">
        <f t="shared" si="1"/>
        <v>216</v>
      </c>
      <c r="M388" s="9">
        <f t="shared" si="2"/>
        <v>151.9348617</v>
      </c>
      <c r="N388" s="9">
        <f t="shared" si="3"/>
        <v>193.6</v>
      </c>
      <c r="O388" s="9">
        <f t="shared" si="4"/>
        <v>211</v>
      </c>
      <c r="P388" s="9">
        <f t="shared" si="6"/>
        <v>224.8</v>
      </c>
      <c r="Q388" s="9">
        <f t="shared" ref="Q388:R388" si="386">average(L382:L388)</f>
        <v>206.6</v>
      </c>
      <c r="R388" s="9">
        <f t="shared" si="386"/>
        <v>142.8973222</v>
      </c>
      <c r="S388" s="11">
        <v>53.25</v>
      </c>
      <c r="T388" s="11">
        <v>52.195</v>
      </c>
      <c r="U388" s="12">
        <v>7.82</v>
      </c>
      <c r="V388" s="12"/>
      <c r="W388" s="12">
        <v>15.0</v>
      </c>
      <c r="X388" s="8">
        <v>24394.0</v>
      </c>
      <c r="Y388" s="8">
        <v>1590.0</v>
      </c>
      <c r="Z388" s="8">
        <v>1166.0</v>
      </c>
      <c r="AA388" s="8">
        <v>9.035</v>
      </c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 ht="15.75" customHeight="1">
      <c r="A389" s="6">
        <v>388.0</v>
      </c>
      <c r="B389" s="7">
        <v>49697.0</v>
      </c>
      <c r="C389" s="8">
        <v>88.5</v>
      </c>
      <c r="D389" s="8">
        <v>96.78</v>
      </c>
      <c r="E389" s="8">
        <v>78.4</v>
      </c>
      <c r="F389" s="8">
        <v>88.5</v>
      </c>
      <c r="G389" s="8">
        <v>96.78</v>
      </c>
      <c r="H389" s="8">
        <v>78.4</v>
      </c>
      <c r="I389" s="8">
        <v>15.0</v>
      </c>
      <c r="J389" s="8">
        <v>31.4</v>
      </c>
      <c r="K389" s="8">
        <v>83.4</v>
      </c>
      <c r="L389" s="9">
        <f t="shared" si="1"/>
        <v>192</v>
      </c>
      <c r="M389" s="9">
        <f t="shared" si="2"/>
        <v>138.2278104</v>
      </c>
      <c r="N389" s="9">
        <f t="shared" si="3"/>
        <v>216</v>
      </c>
      <c r="O389" s="9">
        <f t="shared" si="4"/>
        <v>193.6</v>
      </c>
      <c r="P389" s="9">
        <f t="shared" si="6"/>
        <v>221.6</v>
      </c>
      <c r="Q389" s="9">
        <f t="shared" ref="Q389:R389" si="387">average(L383:L389)</f>
        <v>201.9142857</v>
      </c>
      <c r="R389" s="9">
        <f t="shared" si="387"/>
        <v>140.4695817</v>
      </c>
      <c r="S389" s="11">
        <v>52.72</v>
      </c>
      <c r="T389" s="11">
        <v>52.4675</v>
      </c>
      <c r="U389" s="12">
        <v>8.01</v>
      </c>
      <c r="V389" s="12"/>
      <c r="W389" s="12">
        <v>15.0</v>
      </c>
      <c r="X389" s="8">
        <v>23267.0</v>
      </c>
      <c r="Y389" s="8">
        <v>1575.0</v>
      </c>
      <c r="Z389" s="8">
        <v>1075.0</v>
      </c>
      <c r="AA389" s="8">
        <v>8.848</v>
      </c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 ht="15.75" customHeight="1">
      <c r="A390" s="6">
        <v>389.0</v>
      </c>
      <c r="B390" s="7">
        <v>49698.0</v>
      </c>
      <c r="C390" s="8">
        <v>104.2</v>
      </c>
      <c r="D390" s="8">
        <v>93.83</v>
      </c>
      <c r="E390" s="8">
        <v>76.25</v>
      </c>
      <c r="F390" s="8">
        <v>104.2</v>
      </c>
      <c r="G390" s="8">
        <v>93.83</v>
      </c>
      <c r="H390" s="8">
        <v>76.25</v>
      </c>
      <c r="I390" s="8">
        <v>12.0</v>
      </c>
      <c r="J390" s="8">
        <v>30.7</v>
      </c>
      <c r="K390" s="8">
        <v>84.5</v>
      </c>
      <c r="L390" s="9">
        <f t="shared" si="1"/>
        <v>220.4</v>
      </c>
      <c r="M390" s="9">
        <f t="shared" si="2"/>
        <v>152.2135415</v>
      </c>
      <c r="N390" s="9">
        <f t="shared" si="3"/>
        <v>192</v>
      </c>
      <c r="O390" s="9">
        <f t="shared" si="4"/>
        <v>216</v>
      </c>
      <c r="P390" s="9">
        <f t="shared" si="6"/>
        <v>211.6</v>
      </c>
      <c r="Q390" s="9">
        <f t="shared" ref="Q390:R390" si="388">average(L384:L390)</f>
        <v>201.7428571</v>
      </c>
      <c r="R390" s="9">
        <f t="shared" si="388"/>
        <v>140.5082507</v>
      </c>
      <c r="S390" s="11">
        <v>53.46</v>
      </c>
      <c r="T390" s="11">
        <v>52.684999999999995</v>
      </c>
      <c r="U390" s="12">
        <v>6.73</v>
      </c>
      <c r="V390" s="12"/>
      <c r="W390" s="12">
        <v>15.0</v>
      </c>
      <c r="X390" s="8">
        <v>24342.0</v>
      </c>
      <c r="Y390" s="8">
        <v>1479.0</v>
      </c>
      <c r="Z390" s="8">
        <v>1085.0</v>
      </c>
      <c r="AA390" s="8">
        <v>9.087</v>
      </c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 ht="15.75" customHeight="1">
      <c r="A391" s="6">
        <v>390.0</v>
      </c>
      <c r="B391" s="7">
        <v>49699.0</v>
      </c>
      <c r="C391" s="8">
        <v>79.4</v>
      </c>
      <c r="D391" s="8">
        <v>92.23</v>
      </c>
      <c r="E391" s="8">
        <v>77.68</v>
      </c>
      <c r="F391" s="8">
        <v>79.4</v>
      </c>
      <c r="G391" s="8">
        <v>92.23</v>
      </c>
      <c r="H391" s="8">
        <v>77.68</v>
      </c>
      <c r="I391" s="8">
        <v>12.0</v>
      </c>
      <c r="J391" s="8">
        <v>43.0</v>
      </c>
      <c r="K391" s="8">
        <v>83.8</v>
      </c>
      <c r="L391" s="9">
        <f t="shared" si="1"/>
        <v>170.8</v>
      </c>
      <c r="M391" s="9">
        <f t="shared" si="2"/>
        <v>118.0951712</v>
      </c>
      <c r="N391" s="9">
        <f t="shared" si="3"/>
        <v>220.4</v>
      </c>
      <c r="O391" s="9">
        <f t="shared" si="4"/>
        <v>192</v>
      </c>
      <c r="P391" s="9">
        <f t="shared" si="6"/>
        <v>167.6</v>
      </c>
      <c r="Q391" s="9">
        <f t="shared" ref="Q391:R391" si="389">average(L385:L391)</f>
        <v>195.9142857</v>
      </c>
      <c r="R391" s="9">
        <f t="shared" si="389"/>
        <v>136.5535291</v>
      </c>
      <c r="S391" s="11">
        <v>52.74</v>
      </c>
      <c r="T391" s="11">
        <v>52.5625</v>
      </c>
      <c r="U391" s="12">
        <v>7.3</v>
      </c>
      <c r="V391" s="12"/>
      <c r="W391" s="12">
        <v>13.0</v>
      </c>
      <c r="X391" s="8">
        <v>24808.0</v>
      </c>
      <c r="Y391" s="8">
        <v>1465.0</v>
      </c>
      <c r="Z391" s="8">
        <v>1033.0</v>
      </c>
      <c r="AA391" s="8">
        <v>9.509</v>
      </c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 ht="15.75" customHeight="1">
      <c r="A392" s="6">
        <v>391.0</v>
      </c>
      <c r="B392" s="7">
        <v>49700.0</v>
      </c>
      <c r="C392" s="8">
        <v>106.6</v>
      </c>
      <c r="D392" s="8">
        <v>91.96</v>
      </c>
      <c r="E392" s="8">
        <v>81.02</v>
      </c>
      <c r="F392" s="8">
        <v>106.6</v>
      </c>
      <c r="G392" s="8">
        <v>91.96</v>
      </c>
      <c r="H392" s="8">
        <v>81.02</v>
      </c>
      <c r="I392" s="8">
        <v>22.0</v>
      </c>
      <c r="J392" s="8">
        <v>35.7</v>
      </c>
      <c r="K392" s="8">
        <v>83.7</v>
      </c>
      <c r="L392" s="9">
        <f t="shared" si="1"/>
        <v>235.2</v>
      </c>
      <c r="M392" s="9">
        <f t="shared" si="2"/>
        <v>165.4205729</v>
      </c>
      <c r="N392" s="9">
        <f t="shared" si="3"/>
        <v>170.8</v>
      </c>
      <c r="O392" s="9">
        <f t="shared" si="4"/>
        <v>220.4</v>
      </c>
      <c r="P392" s="9">
        <f t="shared" si="6"/>
        <v>211</v>
      </c>
      <c r="Q392" s="9">
        <f t="shared" ref="Q392:R392" si="390">average(L386:L392)</f>
        <v>205.5714286</v>
      </c>
      <c r="R392" s="9">
        <f t="shared" si="390"/>
        <v>144.6390268</v>
      </c>
      <c r="S392" s="11">
        <v>52.48</v>
      </c>
      <c r="T392" s="11">
        <v>52.2475</v>
      </c>
      <c r="U392" s="12">
        <v>7.62</v>
      </c>
      <c r="V392" s="12"/>
      <c r="W392" s="12">
        <v>16.0</v>
      </c>
      <c r="X392" s="8">
        <v>23788.0</v>
      </c>
      <c r="Y392" s="8">
        <v>1695.0</v>
      </c>
      <c r="Z392" s="8">
        <v>1089.0</v>
      </c>
      <c r="AA392" s="8">
        <v>9.034</v>
      </c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 ht="15.75" customHeight="1">
      <c r="A393" s="6">
        <v>392.0</v>
      </c>
      <c r="B393" s="7">
        <v>49701.0</v>
      </c>
      <c r="C393" s="8">
        <v>96.9</v>
      </c>
      <c r="D393" s="8">
        <v>93.25</v>
      </c>
      <c r="E393" s="8">
        <v>77.35</v>
      </c>
      <c r="F393" s="8">
        <v>96.9</v>
      </c>
      <c r="G393" s="8">
        <v>93.25</v>
      </c>
      <c r="H393" s="8">
        <v>77.35</v>
      </c>
      <c r="I393" s="8">
        <v>12.0</v>
      </c>
      <c r="J393" s="8">
        <v>35.6</v>
      </c>
      <c r="K393" s="8">
        <v>84.4</v>
      </c>
      <c r="L393" s="9">
        <f t="shared" si="1"/>
        <v>205.8</v>
      </c>
      <c r="M393" s="9">
        <f t="shared" si="2"/>
        <v>143.3913278</v>
      </c>
      <c r="N393" s="9">
        <f t="shared" si="3"/>
        <v>235.2</v>
      </c>
      <c r="O393" s="9">
        <f t="shared" si="4"/>
        <v>170.8</v>
      </c>
      <c r="P393" s="9">
        <f t="shared" si="6"/>
        <v>193.6</v>
      </c>
      <c r="Q393" s="9">
        <f t="shared" ref="Q393:R393" si="391">average(L387:L393)</f>
        <v>204.8285714</v>
      </c>
      <c r="R393" s="9">
        <f t="shared" si="391"/>
        <v>143.6416398</v>
      </c>
      <c r="S393" s="11">
        <v>53.42</v>
      </c>
      <c r="T393" s="11">
        <v>52.25749999999999</v>
      </c>
      <c r="U393" s="12">
        <v>8.9</v>
      </c>
      <c r="V393" s="12"/>
      <c r="W393" s="12">
        <v>17.0</v>
      </c>
      <c r="X393" s="8">
        <v>24076.0</v>
      </c>
      <c r="Y393" s="8">
        <v>1683.0</v>
      </c>
      <c r="Z393" s="8">
        <v>1006.0</v>
      </c>
      <c r="AA393" s="8">
        <v>9.162</v>
      </c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 ht="15.75" customHeight="1">
      <c r="A394" s="6">
        <v>393.0</v>
      </c>
      <c r="B394" s="7">
        <v>49702.0</v>
      </c>
      <c r="C394" s="8">
        <v>104.2</v>
      </c>
      <c r="D394" s="8">
        <v>91.66</v>
      </c>
      <c r="E394" s="8">
        <v>79.19</v>
      </c>
      <c r="F394" s="8">
        <v>104.2</v>
      </c>
      <c r="G394" s="8">
        <v>91.66</v>
      </c>
      <c r="H394" s="8">
        <v>79.19</v>
      </c>
      <c r="I394" s="8">
        <v>7.0</v>
      </c>
      <c r="J394" s="8">
        <v>41.0</v>
      </c>
      <c r="K394" s="8">
        <v>84.4</v>
      </c>
      <c r="L394" s="9">
        <f t="shared" si="1"/>
        <v>215.4</v>
      </c>
      <c r="M394" s="9">
        <f t="shared" si="2"/>
        <v>153.6905745</v>
      </c>
      <c r="N394" s="9">
        <f t="shared" si="3"/>
        <v>205.8</v>
      </c>
      <c r="O394" s="9">
        <f t="shared" si="4"/>
        <v>235.2</v>
      </c>
      <c r="P394" s="9">
        <f t="shared" si="6"/>
        <v>216</v>
      </c>
      <c r="Q394" s="9">
        <f t="shared" ref="Q394:R394" si="392">average(L388:L394)</f>
        <v>207.9428571</v>
      </c>
      <c r="R394" s="9">
        <f t="shared" si="392"/>
        <v>146.1391229</v>
      </c>
      <c r="S394" s="11">
        <v>52.08</v>
      </c>
      <c r="T394" s="11">
        <v>51.857499999999995</v>
      </c>
      <c r="U394" s="12">
        <v>8.87</v>
      </c>
      <c r="V394" s="12"/>
      <c r="W394" s="12">
        <v>16.0</v>
      </c>
      <c r="X394" s="8">
        <v>23833.0</v>
      </c>
      <c r="Y394" s="8">
        <v>1725.0</v>
      </c>
      <c r="Z394" s="8">
        <v>1053.0</v>
      </c>
      <c r="AA394" s="8">
        <v>9.594</v>
      </c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 ht="15.75" customHeight="1">
      <c r="A395" s="6">
        <v>394.0</v>
      </c>
      <c r="B395" s="7">
        <v>49703.0</v>
      </c>
      <c r="C395" s="8">
        <v>102.3</v>
      </c>
      <c r="D395" s="8">
        <v>94.51</v>
      </c>
      <c r="E395" s="8">
        <v>80.56</v>
      </c>
      <c r="F395" s="8">
        <v>102.3</v>
      </c>
      <c r="G395" s="8">
        <v>94.51</v>
      </c>
      <c r="H395" s="8">
        <v>80.56</v>
      </c>
      <c r="I395" s="8">
        <v>12.0</v>
      </c>
      <c r="J395" s="8">
        <v>40.7</v>
      </c>
      <c r="K395" s="8">
        <v>84.1</v>
      </c>
      <c r="L395" s="9">
        <f t="shared" si="1"/>
        <v>216.6</v>
      </c>
      <c r="M395" s="9">
        <f t="shared" si="2"/>
        <v>159.8842698</v>
      </c>
      <c r="N395" s="9">
        <f t="shared" si="3"/>
        <v>215.4</v>
      </c>
      <c r="O395" s="9">
        <f t="shared" si="4"/>
        <v>205.8</v>
      </c>
      <c r="P395" s="9">
        <f t="shared" si="6"/>
        <v>192</v>
      </c>
      <c r="Q395" s="9">
        <f t="shared" ref="Q395:R395" si="393">average(L389:L395)</f>
        <v>208.0285714</v>
      </c>
      <c r="R395" s="9">
        <f t="shared" si="393"/>
        <v>147.2747526</v>
      </c>
      <c r="S395" s="11">
        <v>52.54</v>
      </c>
      <c r="T395" s="11">
        <v>52.50750000000001</v>
      </c>
      <c r="U395" s="12">
        <v>8.79</v>
      </c>
      <c r="V395" s="12"/>
      <c r="W395" s="12">
        <v>16.0</v>
      </c>
      <c r="X395" s="8">
        <v>24403.0</v>
      </c>
      <c r="Y395" s="8">
        <v>1625.0</v>
      </c>
      <c r="Z395" s="8">
        <v>960.0</v>
      </c>
      <c r="AA395" s="8">
        <v>9.796</v>
      </c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 ht="15.75" customHeight="1">
      <c r="A396" s="6">
        <v>395.0</v>
      </c>
      <c r="B396" s="7">
        <v>49704.0</v>
      </c>
      <c r="C396" s="8">
        <v>106.6</v>
      </c>
      <c r="D396" s="8">
        <v>92.57</v>
      </c>
      <c r="E396" s="8">
        <v>80.56</v>
      </c>
      <c r="F396" s="8">
        <v>106.6</v>
      </c>
      <c r="G396" s="8">
        <v>92.57</v>
      </c>
      <c r="H396" s="8">
        <v>80.56</v>
      </c>
      <c r="I396" s="8">
        <v>12.0</v>
      </c>
      <c r="J396" s="8">
        <v>42.8</v>
      </c>
      <c r="K396" s="8">
        <v>84.8</v>
      </c>
      <c r="L396" s="9">
        <f t="shared" si="1"/>
        <v>225.2</v>
      </c>
      <c r="M396" s="9">
        <f t="shared" si="2"/>
        <v>163.3479317</v>
      </c>
      <c r="N396" s="9">
        <f t="shared" si="3"/>
        <v>216.6</v>
      </c>
      <c r="O396" s="9">
        <f t="shared" si="4"/>
        <v>215.4</v>
      </c>
      <c r="P396" s="9">
        <f t="shared" si="6"/>
        <v>220.4</v>
      </c>
      <c r="Q396" s="9">
        <f t="shared" ref="Q396:R396" si="394">average(L390:L396)</f>
        <v>212.7714286</v>
      </c>
      <c r="R396" s="9">
        <f t="shared" si="394"/>
        <v>150.8633414</v>
      </c>
      <c r="S396" s="11">
        <v>51.61</v>
      </c>
      <c r="T396" s="11">
        <v>52.5925</v>
      </c>
      <c r="U396" s="12">
        <v>8.86</v>
      </c>
      <c r="V396" s="12"/>
      <c r="W396" s="12">
        <v>15.0</v>
      </c>
      <c r="X396" s="8">
        <v>24840.0</v>
      </c>
      <c r="Y396" s="8">
        <v>1710.0</v>
      </c>
      <c r="Z396" s="8">
        <v>1066.0</v>
      </c>
      <c r="AA396" s="8">
        <v>10.121</v>
      </c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 ht="15.75" customHeight="1">
      <c r="A397" s="6">
        <v>396.0</v>
      </c>
      <c r="B397" s="7">
        <v>49705.0</v>
      </c>
      <c r="C397" s="8">
        <v>115.3</v>
      </c>
      <c r="D397" s="8">
        <v>95.31</v>
      </c>
      <c r="E397" s="8">
        <v>80.97</v>
      </c>
      <c r="F397" s="8">
        <v>115.3</v>
      </c>
      <c r="G397" s="8">
        <v>95.31</v>
      </c>
      <c r="H397" s="8">
        <v>80.97</v>
      </c>
      <c r="I397" s="8">
        <v>15.0</v>
      </c>
      <c r="J397" s="8">
        <v>40.1</v>
      </c>
      <c r="K397" s="8">
        <v>84.2</v>
      </c>
      <c r="L397" s="9">
        <f t="shared" si="1"/>
        <v>245.6</v>
      </c>
      <c r="M397" s="9">
        <f t="shared" si="2"/>
        <v>183.0244311</v>
      </c>
      <c r="N397" s="9">
        <f t="shared" si="3"/>
        <v>225.2</v>
      </c>
      <c r="O397" s="9">
        <f t="shared" si="4"/>
        <v>216.6</v>
      </c>
      <c r="P397" s="9">
        <f t="shared" si="6"/>
        <v>170.8</v>
      </c>
      <c r="Q397" s="9">
        <f t="shared" ref="Q397:R397" si="395">average(L391:L397)</f>
        <v>216.3714286</v>
      </c>
      <c r="R397" s="9">
        <f t="shared" si="395"/>
        <v>155.264897</v>
      </c>
      <c r="S397" s="11">
        <v>51.61</v>
      </c>
      <c r="T397" s="11">
        <v>52.6725</v>
      </c>
      <c r="U397" s="12">
        <v>9.59</v>
      </c>
      <c r="V397" s="12"/>
      <c r="W397" s="12">
        <v>13.0</v>
      </c>
      <c r="X397" s="8">
        <v>24750.0</v>
      </c>
      <c r="Y397" s="8">
        <v>1806.0</v>
      </c>
      <c r="Z397" s="8">
        <v>1104.0</v>
      </c>
      <c r="AA397" s="8">
        <v>10.003</v>
      </c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 ht="15.75" customHeight="1">
      <c r="A398" s="6">
        <v>397.0</v>
      </c>
      <c r="B398" s="7">
        <v>49706.0</v>
      </c>
      <c r="C398" s="8">
        <v>110.8</v>
      </c>
      <c r="D398" s="8">
        <v>96.22</v>
      </c>
      <c r="E398" s="8">
        <v>78.71</v>
      </c>
      <c r="F398" s="8">
        <v>110.8</v>
      </c>
      <c r="G398" s="8">
        <v>96.22</v>
      </c>
      <c r="H398" s="8">
        <v>78.71</v>
      </c>
      <c r="I398" s="8">
        <v>16.0</v>
      </c>
      <c r="J398" s="8">
        <v>37.3</v>
      </c>
      <c r="K398" s="8">
        <v>84.5</v>
      </c>
      <c r="L398" s="9">
        <f t="shared" si="1"/>
        <v>237.6</v>
      </c>
      <c r="M398" s="9">
        <f t="shared" si="2"/>
        <v>172.8711926</v>
      </c>
      <c r="N398" s="9">
        <f t="shared" si="3"/>
        <v>245.6</v>
      </c>
      <c r="O398" s="9">
        <f t="shared" si="4"/>
        <v>225.2</v>
      </c>
      <c r="P398" s="9">
        <f t="shared" si="6"/>
        <v>235.2</v>
      </c>
      <c r="Q398" s="9">
        <f t="shared" ref="Q398:R398" si="396">average(L392:L398)</f>
        <v>225.9142857</v>
      </c>
      <c r="R398" s="9">
        <f t="shared" si="396"/>
        <v>163.0900429</v>
      </c>
      <c r="S398" s="11">
        <v>51.08</v>
      </c>
      <c r="T398" s="11">
        <v>53.225</v>
      </c>
      <c r="U398" s="12">
        <v>10.08</v>
      </c>
      <c r="V398" s="12"/>
      <c r="W398" s="12">
        <v>16.0</v>
      </c>
      <c r="X398" s="8">
        <v>24957.0</v>
      </c>
      <c r="Y398" s="8">
        <v>1735.0</v>
      </c>
      <c r="Z398" s="8">
        <v>770.0</v>
      </c>
      <c r="AA398" s="8">
        <v>9.702</v>
      </c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 ht="15.75" customHeight="1">
      <c r="A399" s="6">
        <v>398.0</v>
      </c>
      <c r="B399" s="7">
        <v>49707.0</v>
      </c>
      <c r="C399" s="8">
        <v>94.4</v>
      </c>
      <c r="D399" s="8">
        <v>90.78</v>
      </c>
      <c r="E399" s="8">
        <v>78.71</v>
      </c>
      <c r="F399" s="8">
        <v>94.4</v>
      </c>
      <c r="G399" s="8">
        <v>90.78</v>
      </c>
      <c r="H399" s="8">
        <v>78.71</v>
      </c>
      <c r="I399" s="8">
        <v>10.0</v>
      </c>
      <c r="J399" s="8">
        <v>35.0</v>
      </c>
      <c r="K399" s="8">
        <v>82.5</v>
      </c>
      <c r="L399" s="9">
        <f t="shared" si="1"/>
        <v>198.8</v>
      </c>
      <c r="M399" s="9">
        <f t="shared" si="2"/>
        <v>137.7906469</v>
      </c>
      <c r="N399" s="9">
        <f t="shared" si="3"/>
        <v>237.6</v>
      </c>
      <c r="O399" s="9">
        <f t="shared" si="4"/>
        <v>245.6</v>
      </c>
      <c r="P399" s="9">
        <f t="shared" si="6"/>
        <v>205.8</v>
      </c>
      <c r="Q399" s="9">
        <f t="shared" ref="Q399:R399" si="397">average(L393:L399)</f>
        <v>220.7142857</v>
      </c>
      <c r="R399" s="9">
        <f t="shared" si="397"/>
        <v>159.1429106</v>
      </c>
      <c r="S399" s="11">
        <v>51.2</v>
      </c>
      <c r="T399" s="11">
        <v>53.1275</v>
      </c>
      <c r="U399" s="12">
        <v>8.47</v>
      </c>
      <c r="V399" s="12"/>
      <c r="W399" s="12">
        <v>13.0</v>
      </c>
      <c r="X399" s="8">
        <v>25717.0</v>
      </c>
      <c r="Y399" s="8">
        <v>1640.0</v>
      </c>
      <c r="Z399" s="8">
        <v>790.0</v>
      </c>
      <c r="AA399" s="8">
        <v>9.992</v>
      </c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 ht="15.75" customHeight="1">
      <c r="A400" s="6">
        <v>399.0</v>
      </c>
      <c r="B400" s="7">
        <v>49708.0</v>
      </c>
      <c r="C400" s="8">
        <v>47.8</v>
      </c>
      <c r="D400" s="8">
        <v>93.68</v>
      </c>
      <c r="E400" s="8">
        <v>80.62</v>
      </c>
      <c r="F400" s="8">
        <v>47.8</v>
      </c>
      <c r="G400" s="8">
        <v>93.68</v>
      </c>
      <c r="H400" s="8">
        <v>80.62</v>
      </c>
      <c r="I400" s="8">
        <v>15.0</v>
      </c>
      <c r="J400" s="8">
        <v>33.2</v>
      </c>
      <c r="K400" s="8">
        <v>83.9</v>
      </c>
      <c r="L400" s="9">
        <f t="shared" si="1"/>
        <v>110.6</v>
      </c>
      <c r="M400" s="9">
        <f t="shared" si="2"/>
        <v>76.3799441</v>
      </c>
      <c r="N400" s="9">
        <f t="shared" si="3"/>
        <v>198.8</v>
      </c>
      <c r="O400" s="9">
        <f t="shared" si="4"/>
        <v>237.6</v>
      </c>
      <c r="P400" s="9">
        <f t="shared" si="6"/>
        <v>215.4</v>
      </c>
      <c r="Q400" s="9">
        <f t="shared" ref="Q400:R400" si="398">average(L394:L400)</f>
        <v>207.1142857</v>
      </c>
      <c r="R400" s="9">
        <f t="shared" si="398"/>
        <v>149.5698558</v>
      </c>
      <c r="S400" s="11">
        <v>51.2</v>
      </c>
      <c r="T400" s="11">
        <v>52.629999999999995</v>
      </c>
      <c r="U400" s="12">
        <v>6.26</v>
      </c>
      <c r="V400" s="12"/>
      <c r="W400" s="12">
        <v>19.0</v>
      </c>
      <c r="X400" s="8">
        <v>24519.0</v>
      </c>
      <c r="Y400" s="8">
        <v>1240.0</v>
      </c>
      <c r="Z400" s="8">
        <v>1000.0</v>
      </c>
      <c r="AA400" s="8">
        <v>9.058</v>
      </c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 ht="15.75" customHeight="1">
      <c r="A401" s="6">
        <v>400.0</v>
      </c>
      <c r="B401" s="7">
        <v>49709.0</v>
      </c>
      <c r="C401" s="8">
        <v>105.3</v>
      </c>
      <c r="D401" s="8">
        <v>90.19</v>
      </c>
      <c r="E401" s="8">
        <v>80.32</v>
      </c>
      <c r="F401" s="8">
        <v>105.3</v>
      </c>
      <c r="G401" s="8">
        <v>90.19</v>
      </c>
      <c r="H401" s="8">
        <v>80.32</v>
      </c>
      <c r="I401" s="8">
        <v>25.0</v>
      </c>
      <c r="J401" s="8">
        <v>35.3</v>
      </c>
      <c r="K401" s="8">
        <v>82.6</v>
      </c>
      <c r="L401" s="9">
        <f t="shared" si="1"/>
        <v>235.6</v>
      </c>
      <c r="M401" s="9">
        <f t="shared" si="2"/>
        <v>159.8493704</v>
      </c>
      <c r="N401" s="9">
        <f t="shared" si="3"/>
        <v>110.6</v>
      </c>
      <c r="O401" s="9">
        <f t="shared" si="4"/>
        <v>198.8</v>
      </c>
      <c r="P401" s="9">
        <f t="shared" si="6"/>
        <v>216.6</v>
      </c>
      <c r="Q401" s="9">
        <f t="shared" ref="Q401:R401" si="399">average(L395:L401)</f>
        <v>210</v>
      </c>
      <c r="R401" s="9">
        <f t="shared" si="399"/>
        <v>150.4496838</v>
      </c>
      <c r="S401" s="11">
        <v>51.2</v>
      </c>
      <c r="T401" s="11">
        <v>53.212500000000006</v>
      </c>
      <c r="U401" s="12">
        <v>8.18</v>
      </c>
      <c r="V401" s="12"/>
      <c r="W401" s="12">
        <v>16.0</v>
      </c>
      <c r="X401" s="8">
        <v>23437.0</v>
      </c>
      <c r="Y401" s="8">
        <v>1656.0</v>
      </c>
      <c r="Z401" s="8">
        <v>879.0</v>
      </c>
      <c r="AA401" s="8">
        <v>8.873</v>
      </c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 ht="15.75" customHeight="1">
      <c r="A402" s="6">
        <v>401.0</v>
      </c>
      <c r="B402" s="7">
        <v>49710.0</v>
      </c>
      <c r="C402" s="8">
        <v>82.6</v>
      </c>
      <c r="D402" s="8">
        <v>91.06</v>
      </c>
      <c r="E402" s="8">
        <v>79.95</v>
      </c>
      <c r="F402" s="8">
        <v>82.6</v>
      </c>
      <c r="G402" s="8">
        <v>91.06</v>
      </c>
      <c r="H402" s="8">
        <v>79.95</v>
      </c>
      <c r="I402" s="8">
        <v>50.0</v>
      </c>
      <c r="J402" s="8">
        <v>37.2</v>
      </c>
      <c r="K402" s="8">
        <v>79.5</v>
      </c>
      <c r="L402" s="9">
        <f t="shared" si="1"/>
        <v>215.2</v>
      </c>
      <c r="M402" s="9">
        <f t="shared" si="2"/>
        <v>135.0566804</v>
      </c>
      <c r="N402" s="9">
        <f t="shared" si="3"/>
        <v>235.6</v>
      </c>
      <c r="O402" s="9">
        <f t="shared" si="4"/>
        <v>110.6</v>
      </c>
      <c r="P402" s="9">
        <f t="shared" si="6"/>
        <v>225.2</v>
      </c>
      <c r="Q402" s="9">
        <f t="shared" ref="Q402:R402" si="400">average(L396:L402)</f>
        <v>209.8</v>
      </c>
      <c r="R402" s="9">
        <f t="shared" si="400"/>
        <v>146.9028853</v>
      </c>
      <c r="S402" s="11">
        <v>52.6</v>
      </c>
      <c r="T402" s="11">
        <v>52.7525</v>
      </c>
      <c r="U402" s="12">
        <v>8.07</v>
      </c>
      <c r="V402" s="12"/>
      <c r="W402" s="12">
        <v>14.0</v>
      </c>
      <c r="X402" s="8">
        <v>22185.0</v>
      </c>
      <c r="Y402" s="8">
        <v>1655.0</v>
      </c>
      <c r="Z402" s="8">
        <v>988.0</v>
      </c>
      <c r="AA402" s="8">
        <v>8.632</v>
      </c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 ht="15.75" customHeight="1">
      <c r="A403" s="6">
        <v>402.0</v>
      </c>
      <c r="B403" s="7">
        <v>49711.0</v>
      </c>
      <c r="C403" s="8">
        <v>99.3</v>
      </c>
      <c r="D403" s="8">
        <v>92.01</v>
      </c>
      <c r="E403" s="8">
        <v>76.69</v>
      </c>
      <c r="F403" s="8">
        <v>99.3</v>
      </c>
      <c r="G403" s="8">
        <v>92.01</v>
      </c>
      <c r="H403" s="8">
        <v>76.69</v>
      </c>
      <c r="I403" s="8">
        <v>51.0</v>
      </c>
      <c r="J403" s="8">
        <v>35.2</v>
      </c>
      <c r="K403" s="8">
        <v>82.6</v>
      </c>
      <c r="L403" s="9">
        <f t="shared" si="1"/>
        <v>249.6</v>
      </c>
      <c r="M403" s="9">
        <f t="shared" si="2"/>
        <v>154.9654154</v>
      </c>
      <c r="N403" s="9">
        <f t="shared" si="3"/>
        <v>215.2</v>
      </c>
      <c r="O403" s="9">
        <f t="shared" si="4"/>
        <v>235.6</v>
      </c>
      <c r="P403" s="9">
        <f t="shared" si="6"/>
        <v>245.6</v>
      </c>
      <c r="Q403" s="9">
        <f t="shared" ref="Q403:R403" si="401">average(L397:L403)</f>
        <v>213.2857143</v>
      </c>
      <c r="R403" s="9">
        <f t="shared" si="401"/>
        <v>145.705383</v>
      </c>
      <c r="S403" s="11">
        <v>53.2</v>
      </c>
      <c r="T403" s="11">
        <v>52.85000000000001</v>
      </c>
      <c r="U403" s="12">
        <v>9.08</v>
      </c>
      <c r="V403" s="12"/>
      <c r="W403" s="12">
        <v>14.0</v>
      </c>
      <c r="X403" s="8">
        <v>23353.0</v>
      </c>
      <c r="Y403" s="8">
        <v>1815.0</v>
      </c>
      <c r="Z403" s="8">
        <v>970.0</v>
      </c>
      <c r="AA403" s="8">
        <v>9.297</v>
      </c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 ht="15.75" customHeight="1">
      <c r="A404" s="6">
        <v>403.0</v>
      </c>
      <c r="B404" s="7">
        <v>49712.0</v>
      </c>
      <c r="C404" s="8">
        <v>95.4</v>
      </c>
      <c r="D404" s="8">
        <v>87.76</v>
      </c>
      <c r="E404" s="8">
        <v>76.48</v>
      </c>
      <c r="F404" s="8">
        <v>95.4</v>
      </c>
      <c r="G404" s="8">
        <v>87.76</v>
      </c>
      <c r="H404" s="8">
        <v>76.48</v>
      </c>
      <c r="I404" s="8">
        <v>30.0</v>
      </c>
      <c r="J404" s="8">
        <v>35.5</v>
      </c>
      <c r="K404" s="8">
        <v>77.9</v>
      </c>
      <c r="L404" s="9">
        <f t="shared" si="1"/>
        <v>220.8</v>
      </c>
      <c r="M404" s="9">
        <f t="shared" si="2"/>
        <v>136.359112</v>
      </c>
      <c r="N404" s="9">
        <f t="shared" si="3"/>
        <v>249.6</v>
      </c>
      <c r="O404" s="9">
        <f t="shared" si="4"/>
        <v>215.2</v>
      </c>
      <c r="P404" s="9">
        <f t="shared" si="6"/>
        <v>237.6</v>
      </c>
      <c r="Q404" s="9">
        <f t="shared" ref="Q404:R404" si="402">average(L398:L404)</f>
        <v>209.7428571</v>
      </c>
      <c r="R404" s="9">
        <f t="shared" si="402"/>
        <v>139.0389088</v>
      </c>
      <c r="S404" s="11">
        <v>53.22</v>
      </c>
      <c r="T404" s="11">
        <v>52.467499999999994</v>
      </c>
      <c r="U404" s="12">
        <v>7.37</v>
      </c>
      <c r="V404" s="12"/>
      <c r="W404" s="12">
        <v>16.0</v>
      </c>
      <c r="X404" s="8">
        <v>23807.0</v>
      </c>
      <c r="Y404" s="8">
        <v>1660.0</v>
      </c>
      <c r="Z404" s="8">
        <v>1077.0</v>
      </c>
      <c r="AA404" s="8">
        <v>9.598</v>
      </c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 ht="15.75" customHeight="1">
      <c r="A405" s="6">
        <v>404.0</v>
      </c>
      <c r="B405" s="7">
        <v>49713.0</v>
      </c>
      <c r="C405" s="8">
        <v>115.3</v>
      </c>
      <c r="D405" s="8">
        <v>91.88</v>
      </c>
      <c r="E405" s="8">
        <v>79.53</v>
      </c>
      <c r="F405" s="8">
        <v>115.3</v>
      </c>
      <c r="G405" s="8">
        <v>91.88</v>
      </c>
      <c r="H405" s="8">
        <v>79.53</v>
      </c>
      <c r="I405" s="8">
        <v>30.0</v>
      </c>
      <c r="J405" s="8">
        <v>37.5</v>
      </c>
      <c r="K405" s="8">
        <v>82.0</v>
      </c>
      <c r="L405" s="9">
        <f t="shared" si="1"/>
        <v>260.6</v>
      </c>
      <c r="M405" s="9">
        <f t="shared" si="2"/>
        <v>177.7294102</v>
      </c>
      <c r="N405" s="9">
        <f t="shared" si="3"/>
        <v>220.8</v>
      </c>
      <c r="O405" s="9">
        <f t="shared" si="4"/>
        <v>249.6</v>
      </c>
      <c r="P405" s="9">
        <f t="shared" si="6"/>
        <v>198.8</v>
      </c>
      <c r="Q405" s="9">
        <f t="shared" ref="Q405:R405" si="403">average(L399:L405)</f>
        <v>213.0285714</v>
      </c>
      <c r="R405" s="9">
        <f t="shared" si="403"/>
        <v>139.7329399</v>
      </c>
      <c r="S405" s="11">
        <v>52.78</v>
      </c>
      <c r="T405" s="11">
        <v>52.2025</v>
      </c>
      <c r="U405" s="12">
        <v>8.71</v>
      </c>
      <c r="V405" s="12"/>
      <c r="W405" s="12">
        <v>14.0</v>
      </c>
      <c r="X405" s="8">
        <v>24461.0</v>
      </c>
      <c r="Y405" s="8">
        <v>1680.0</v>
      </c>
      <c r="Z405" s="8">
        <v>1092.0</v>
      </c>
      <c r="AA405" s="8">
        <v>9.525</v>
      </c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 ht="15.75" customHeight="1">
      <c r="A406" s="6">
        <v>405.0</v>
      </c>
      <c r="B406" s="7">
        <v>49714.0</v>
      </c>
      <c r="C406" s="8">
        <v>83.4</v>
      </c>
      <c r="D406" s="8">
        <v>92.0</v>
      </c>
      <c r="E406" s="8">
        <v>80.66</v>
      </c>
      <c r="F406" s="8">
        <v>83.4</v>
      </c>
      <c r="G406" s="8">
        <v>92.0</v>
      </c>
      <c r="H406" s="8">
        <v>80.66</v>
      </c>
      <c r="I406" s="8">
        <v>40.0</v>
      </c>
      <c r="J406" s="8">
        <v>36.7</v>
      </c>
      <c r="K406" s="8">
        <v>78.7</v>
      </c>
      <c r="L406" s="9">
        <f t="shared" si="1"/>
        <v>206.8</v>
      </c>
      <c r="M406" s="9">
        <f t="shared" si="2"/>
        <v>135.3307696</v>
      </c>
      <c r="N406" s="9">
        <f t="shared" si="3"/>
        <v>260.6</v>
      </c>
      <c r="O406" s="9">
        <f t="shared" si="4"/>
        <v>220.8</v>
      </c>
      <c r="P406" s="9">
        <f t="shared" si="6"/>
        <v>110.6</v>
      </c>
      <c r="Q406" s="9">
        <f t="shared" ref="Q406:R406" si="404">average(L400:L406)</f>
        <v>214.1714286</v>
      </c>
      <c r="R406" s="9">
        <f t="shared" si="404"/>
        <v>139.3815289</v>
      </c>
      <c r="S406" s="11">
        <v>52.5</v>
      </c>
      <c r="T406" s="11">
        <v>52.1875</v>
      </c>
      <c r="U406" s="12">
        <v>7.28</v>
      </c>
      <c r="V406" s="12"/>
      <c r="W406" s="12">
        <v>15.0</v>
      </c>
      <c r="X406" s="8">
        <v>20894.0</v>
      </c>
      <c r="Y406" s="8">
        <v>1519.0</v>
      </c>
      <c r="Z406" s="8">
        <v>838.0</v>
      </c>
      <c r="AA406" s="8">
        <v>7.341</v>
      </c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 ht="15.75" customHeight="1">
      <c r="A407" s="6">
        <v>406.0</v>
      </c>
      <c r="B407" s="7">
        <v>49715.0</v>
      </c>
      <c r="C407" s="8">
        <v>94.9</v>
      </c>
      <c r="D407" s="8">
        <v>91.87</v>
      </c>
      <c r="E407" s="8">
        <v>72.45</v>
      </c>
      <c r="F407" s="8">
        <v>94.9</v>
      </c>
      <c r="G407" s="8">
        <v>91.87</v>
      </c>
      <c r="H407" s="8">
        <v>72.45</v>
      </c>
      <c r="I407" s="8">
        <v>39.0</v>
      </c>
      <c r="J407" s="8">
        <v>35.8</v>
      </c>
      <c r="K407" s="8">
        <v>80.4</v>
      </c>
      <c r="L407" s="9">
        <f t="shared" si="1"/>
        <v>228.8</v>
      </c>
      <c r="M407" s="9">
        <f t="shared" si="2"/>
        <v>137.5559769</v>
      </c>
      <c r="N407" s="9">
        <f t="shared" si="3"/>
        <v>206.8</v>
      </c>
      <c r="O407" s="9">
        <f t="shared" si="4"/>
        <v>260.6</v>
      </c>
      <c r="P407" s="9">
        <f t="shared" si="6"/>
        <v>235.6</v>
      </c>
      <c r="Q407" s="9">
        <f t="shared" ref="Q407:R407" si="405">average(L401:L407)</f>
        <v>231.0571429</v>
      </c>
      <c r="R407" s="9">
        <f t="shared" si="405"/>
        <v>148.1209621</v>
      </c>
      <c r="S407" s="11">
        <v>53.16</v>
      </c>
      <c r="T407" s="11">
        <v>52.32</v>
      </c>
      <c r="U407" s="12">
        <v>8.17</v>
      </c>
      <c r="V407" s="12"/>
      <c r="W407" s="12">
        <v>12.0</v>
      </c>
      <c r="X407" s="8">
        <v>27651.0</v>
      </c>
      <c r="Y407" s="8">
        <v>1780.0</v>
      </c>
      <c r="Z407" s="8">
        <v>974.0</v>
      </c>
      <c r="AA407" s="8">
        <v>10.373</v>
      </c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 ht="15.75" customHeight="1">
      <c r="A408" s="6">
        <v>407.0</v>
      </c>
      <c r="B408" s="7">
        <v>49716.0</v>
      </c>
      <c r="C408" s="8">
        <v>103.8</v>
      </c>
      <c r="D408" s="8">
        <v>92.25</v>
      </c>
      <c r="E408" s="8">
        <v>76.41</v>
      </c>
      <c r="F408" s="8">
        <v>103.8</v>
      </c>
      <c r="G408" s="8">
        <v>92.25</v>
      </c>
      <c r="H408" s="8">
        <v>76.41</v>
      </c>
      <c r="I408" s="8">
        <v>40.0</v>
      </c>
      <c r="J408" s="8">
        <v>35.5</v>
      </c>
      <c r="K408" s="8">
        <v>81.0</v>
      </c>
      <c r="L408" s="9">
        <f t="shared" si="1"/>
        <v>247.6</v>
      </c>
      <c r="M408" s="9">
        <f t="shared" si="2"/>
        <v>157.8355551</v>
      </c>
      <c r="N408" s="9">
        <f t="shared" si="3"/>
        <v>228.8</v>
      </c>
      <c r="O408" s="9">
        <f t="shared" si="4"/>
        <v>206.8</v>
      </c>
      <c r="P408" s="9">
        <f t="shared" si="6"/>
        <v>215.2</v>
      </c>
      <c r="Q408" s="9">
        <f t="shared" ref="Q408:R408" si="406">average(L402:L408)</f>
        <v>232.7714286</v>
      </c>
      <c r="R408" s="9">
        <f t="shared" si="406"/>
        <v>147.8332742</v>
      </c>
      <c r="S408" s="11">
        <v>53.26</v>
      </c>
      <c r="T408" s="11">
        <v>52.477500000000006</v>
      </c>
      <c r="U408" s="12">
        <v>8.18</v>
      </c>
      <c r="V408" s="12"/>
      <c r="W408" s="12">
        <v>12.0</v>
      </c>
      <c r="X408" s="8">
        <v>25180.0</v>
      </c>
      <c r="Y408" s="8">
        <v>1685.0</v>
      </c>
      <c r="Z408" s="8">
        <v>1083.0</v>
      </c>
      <c r="AA408" s="8">
        <v>9.466</v>
      </c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 ht="15.75" customHeight="1">
      <c r="A409" s="6">
        <v>408.0</v>
      </c>
      <c r="B409" s="7">
        <v>49717.0</v>
      </c>
      <c r="C409" s="8">
        <v>113.1</v>
      </c>
      <c r="D409" s="8">
        <v>93.98</v>
      </c>
      <c r="E409" s="8">
        <v>75.9</v>
      </c>
      <c r="F409" s="8">
        <v>113.1</v>
      </c>
      <c r="G409" s="8">
        <v>93.98</v>
      </c>
      <c r="H409" s="8">
        <v>75.9</v>
      </c>
      <c r="I409" s="8">
        <v>47.0</v>
      </c>
      <c r="J409" s="8">
        <v>38.2</v>
      </c>
      <c r="K409" s="8">
        <v>78.2</v>
      </c>
      <c r="L409" s="9">
        <f t="shared" si="1"/>
        <v>273.2</v>
      </c>
      <c r="M409" s="9">
        <f t="shared" si="2"/>
        <v>175.3903428</v>
      </c>
      <c r="N409" s="9">
        <f t="shared" si="3"/>
        <v>247.6</v>
      </c>
      <c r="O409" s="9">
        <f t="shared" si="4"/>
        <v>228.8</v>
      </c>
      <c r="P409" s="9">
        <f t="shared" si="6"/>
        <v>249.6</v>
      </c>
      <c r="Q409" s="9">
        <f t="shared" ref="Q409:R409" si="407">average(L403:L409)</f>
        <v>241.0571429</v>
      </c>
      <c r="R409" s="9">
        <f t="shared" si="407"/>
        <v>153.595226</v>
      </c>
      <c r="S409" s="11">
        <v>55.15</v>
      </c>
      <c r="T409" s="11">
        <v>52.5925</v>
      </c>
      <c r="U409" s="12">
        <v>9.24</v>
      </c>
      <c r="V409" s="12"/>
      <c r="W409" s="12">
        <v>11.0</v>
      </c>
      <c r="X409" s="8">
        <v>25799.0</v>
      </c>
      <c r="Y409" s="8">
        <v>1810.0</v>
      </c>
      <c r="Z409" s="8">
        <v>1027.0</v>
      </c>
      <c r="AA409" s="8">
        <v>10.018</v>
      </c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 ht="15.75" customHeight="1">
      <c r="A410" s="6">
        <v>409.0</v>
      </c>
      <c r="B410" s="7">
        <v>49718.0</v>
      </c>
      <c r="C410" s="8">
        <v>116.7</v>
      </c>
      <c r="D410" s="8">
        <v>94.52</v>
      </c>
      <c r="E410" s="8">
        <v>73.72</v>
      </c>
      <c r="F410" s="8">
        <v>116.7</v>
      </c>
      <c r="G410" s="8">
        <v>94.52</v>
      </c>
      <c r="H410" s="8">
        <v>73.72</v>
      </c>
      <c r="I410" s="8">
        <v>46.0</v>
      </c>
      <c r="J410" s="8">
        <v>36.6</v>
      </c>
      <c r="K410" s="8">
        <v>80.2</v>
      </c>
      <c r="L410" s="9">
        <f t="shared" si="1"/>
        <v>279.4</v>
      </c>
      <c r="M410" s="9">
        <f t="shared" si="2"/>
        <v>176.1359281</v>
      </c>
      <c r="N410" s="9">
        <f t="shared" si="3"/>
        <v>273.2</v>
      </c>
      <c r="O410" s="9">
        <f t="shared" si="4"/>
        <v>247.6</v>
      </c>
      <c r="P410" s="9">
        <f t="shared" si="6"/>
        <v>220.8</v>
      </c>
      <c r="Q410" s="9">
        <f t="shared" ref="Q410:R410" si="408">average(L404:L410)</f>
        <v>245.3142857</v>
      </c>
      <c r="R410" s="9">
        <f t="shared" si="408"/>
        <v>156.619585</v>
      </c>
      <c r="S410" s="11">
        <v>55.14</v>
      </c>
      <c r="T410" s="11">
        <v>52.5925</v>
      </c>
      <c r="U410" s="12">
        <v>10.18</v>
      </c>
      <c r="V410" s="12"/>
      <c r="W410" s="12">
        <v>12.0</v>
      </c>
      <c r="X410" s="8">
        <v>26895.0</v>
      </c>
      <c r="Y410" s="8">
        <v>1910.0</v>
      </c>
      <c r="Z410" s="8">
        <v>1069.0</v>
      </c>
      <c r="AA410" s="8">
        <v>10.556</v>
      </c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 ht="15.75" customHeight="1">
      <c r="A411" s="6">
        <v>410.0</v>
      </c>
      <c r="B411" s="7">
        <v>49719.0</v>
      </c>
      <c r="C411" s="8">
        <v>101.7</v>
      </c>
      <c r="D411" s="8">
        <v>92.06</v>
      </c>
      <c r="E411" s="8">
        <v>72.86</v>
      </c>
      <c r="F411" s="8">
        <v>101.7</v>
      </c>
      <c r="G411" s="8">
        <v>92.06</v>
      </c>
      <c r="H411" s="8">
        <v>72.86</v>
      </c>
      <c r="I411" s="8">
        <v>43.0</v>
      </c>
      <c r="J411" s="8">
        <v>36.0</v>
      </c>
      <c r="K411" s="8">
        <v>80.2</v>
      </c>
      <c r="L411" s="9">
        <f t="shared" si="1"/>
        <v>246.4</v>
      </c>
      <c r="M411" s="9">
        <f t="shared" si="2"/>
        <v>148.8453391</v>
      </c>
      <c r="N411" s="9">
        <f t="shared" si="3"/>
        <v>279.4</v>
      </c>
      <c r="O411" s="9">
        <f t="shared" si="4"/>
        <v>273.2</v>
      </c>
      <c r="P411" s="9">
        <f t="shared" si="6"/>
        <v>260.6</v>
      </c>
      <c r="Q411" s="9">
        <f t="shared" ref="Q411:R411" si="409">average(L405:L411)</f>
        <v>248.9714286</v>
      </c>
      <c r="R411" s="9">
        <f t="shared" si="409"/>
        <v>158.4033317</v>
      </c>
      <c r="S411" s="11">
        <v>54.41</v>
      </c>
      <c r="T411" s="11">
        <v>53.0725</v>
      </c>
      <c r="U411" s="12">
        <v>9.89</v>
      </c>
      <c r="V411" s="12"/>
      <c r="W411" s="12">
        <v>12.0</v>
      </c>
      <c r="X411" s="8">
        <v>27020.0</v>
      </c>
      <c r="Y411" s="8">
        <v>1775.0</v>
      </c>
      <c r="Z411" s="8">
        <v>1106.0</v>
      </c>
      <c r="AA411" s="8">
        <v>10.444</v>
      </c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 ht="15.75" customHeight="1">
      <c r="A412" s="6">
        <v>411.0</v>
      </c>
      <c r="B412" s="7">
        <v>49720.0</v>
      </c>
      <c r="C412" s="8">
        <v>75.3</v>
      </c>
      <c r="D412" s="8">
        <v>95.73</v>
      </c>
      <c r="E412" s="8">
        <v>77.93</v>
      </c>
      <c r="F412" s="8">
        <v>75.3</v>
      </c>
      <c r="G412" s="8">
        <v>95.73</v>
      </c>
      <c r="H412" s="8">
        <v>77.93</v>
      </c>
      <c r="I412" s="8">
        <v>33.0</v>
      </c>
      <c r="J412" s="8">
        <v>39.1</v>
      </c>
      <c r="K412" s="8">
        <v>81.3</v>
      </c>
      <c r="L412" s="9">
        <f t="shared" si="1"/>
        <v>183.6</v>
      </c>
      <c r="M412" s="9">
        <f t="shared" si="2"/>
        <v>122.8413368</v>
      </c>
      <c r="N412" s="9">
        <f t="shared" si="3"/>
        <v>246.4</v>
      </c>
      <c r="O412" s="9">
        <f t="shared" si="4"/>
        <v>279.4</v>
      </c>
      <c r="P412" s="9">
        <f t="shared" si="6"/>
        <v>206.8</v>
      </c>
      <c r="Q412" s="9">
        <f t="shared" ref="Q412:R412" si="410">average(L406:L412)</f>
        <v>237.9714286</v>
      </c>
      <c r="R412" s="9">
        <f t="shared" si="410"/>
        <v>150.5621784</v>
      </c>
      <c r="S412" s="11">
        <v>54.08</v>
      </c>
      <c r="T412" s="11">
        <v>52.8625</v>
      </c>
      <c r="U412" s="12">
        <v>8.59</v>
      </c>
      <c r="V412" s="12"/>
      <c r="W412" s="12">
        <v>12.0</v>
      </c>
      <c r="X412" s="8">
        <v>24174.0</v>
      </c>
      <c r="Y412" s="8">
        <v>1703.0</v>
      </c>
      <c r="Z412" s="8">
        <v>905.0</v>
      </c>
      <c r="AA412" s="8">
        <v>9.158</v>
      </c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 ht="15.75" customHeight="1">
      <c r="A413" s="6">
        <v>412.0</v>
      </c>
      <c r="B413" s="7">
        <v>49721.0</v>
      </c>
      <c r="C413" s="8">
        <v>80.7</v>
      </c>
      <c r="D413" s="8">
        <v>93.94</v>
      </c>
      <c r="E413" s="8">
        <v>82.0</v>
      </c>
      <c r="F413" s="8">
        <v>80.7</v>
      </c>
      <c r="G413" s="8">
        <v>93.94</v>
      </c>
      <c r="H413" s="8">
        <v>82.0</v>
      </c>
      <c r="I413" s="8">
        <v>26.0</v>
      </c>
      <c r="J413" s="8">
        <v>33.1</v>
      </c>
      <c r="K413" s="8">
        <v>80.3</v>
      </c>
      <c r="L413" s="9">
        <f t="shared" si="1"/>
        <v>187.4</v>
      </c>
      <c r="M413" s="9">
        <f t="shared" si="2"/>
        <v>131.2383292</v>
      </c>
      <c r="N413" s="9">
        <f t="shared" si="3"/>
        <v>183.6</v>
      </c>
      <c r="O413" s="9">
        <f t="shared" si="4"/>
        <v>246.4</v>
      </c>
      <c r="P413" s="9">
        <f t="shared" si="6"/>
        <v>228.8</v>
      </c>
      <c r="Q413" s="9">
        <f t="shared" ref="Q413:R413" si="411">average(L407:L413)</f>
        <v>235.2</v>
      </c>
      <c r="R413" s="9">
        <f t="shared" si="411"/>
        <v>149.977544</v>
      </c>
      <c r="S413" s="11">
        <v>55.08</v>
      </c>
      <c r="T413" s="11">
        <v>53.1</v>
      </c>
      <c r="U413" s="12">
        <v>7.54</v>
      </c>
      <c r="V413" s="12"/>
      <c r="W413" s="12">
        <v>12.0</v>
      </c>
      <c r="X413" s="8">
        <v>25363.0</v>
      </c>
      <c r="Y413" s="8">
        <v>1528.0</v>
      </c>
      <c r="Z413" s="8">
        <v>1147.0</v>
      </c>
      <c r="AA413" s="8">
        <v>9.9</v>
      </c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 ht="15.75" customHeight="1">
      <c r="A414" s="6">
        <v>413.0</v>
      </c>
      <c r="B414" s="7">
        <v>49722.0</v>
      </c>
      <c r="C414" s="8">
        <v>80.4</v>
      </c>
      <c r="D414" s="8">
        <v>91.47</v>
      </c>
      <c r="E414" s="8">
        <v>82.0</v>
      </c>
      <c r="F414" s="8">
        <v>80.4</v>
      </c>
      <c r="G414" s="8">
        <v>91.47</v>
      </c>
      <c r="H414" s="8">
        <v>82.0</v>
      </c>
      <c r="I414" s="8">
        <v>40.0</v>
      </c>
      <c r="J414" s="8">
        <v>36.3</v>
      </c>
      <c r="K414" s="8">
        <v>80.6</v>
      </c>
      <c r="L414" s="9">
        <f t="shared" si="1"/>
        <v>200.8</v>
      </c>
      <c r="M414" s="9">
        <f t="shared" si="2"/>
        <v>132.3118032</v>
      </c>
      <c r="N414" s="9">
        <f t="shared" si="3"/>
        <v>187.4</v>
      </c>
      <c r="O414" s="9">
        <f t="shared" si="4"/>
        <v>183.6</v>
      </c>
      <c r="P414" s="9">
        <f t="shared" si="6"/>
        <v>247.6</v>
      </c>
      <c r="Q414" s="9">
        <f t="shared" ref="Q414:R414" si="412">average(L408:L414)</f>
        <v>231.2</v>
      </c>
      <c r="R414" s="9">
        <f t="shared" si="412"/>
        <v>149.2283763</v>
      </c>
      <c r="S414" s="11">
        <v>54.74</v>
      </c>
      <c r="T414" s="11">
        <v>53.225</v>
      </c>
      <c r="U414" s="12">
        <v>7.39</v>
      </c>
      <c r="V414" s="12"/>
      <c r="W414" s="12">
        <v>12.0</v>
      </c>
      <c r="X414" s="8">
        <v>23577.0</v>
      </c>
      <c r="Y414" s="8">
        <v>1530.0</v>
      </c>
      <c r="Z414" s="8">
        <v>865.1</v>
      </c>
      <c r="AA414" s="8">
        <v>9.308</v>
      </c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 ht="15.75" customHeight="1">
      <c r="A415" s="6">
        <v>414.0</v>
      </c>
      <c r="B415" s="7">
        <v>49723.0</v>
      </c>
      <c r="C415" s="8">
        <v>102.0</v>
      </c>
      <c r="D415" s="8">
        <v>93.58</v>
      </c>
      <c r="E415" s="8">
        <v>74.58</v>
      </c>
      <c r="F415" s="8">
        <v>102.0</v>
      </c>
      <c r="G415" s="8">
        <v>93.58</v>
      </c>
      <c r="H415" s="8">
        <v>74.58</v>
      </c>
      <c r="I415" s="8">
        <v>38.0</v>
      </c>
      <c r="J415" s="8">
        <v>27.6</v>
      </c>
      <c r="K415" s="8">
        <v>80.7</v>
      </c>
      <c r="L415" s="9">
        <f t="shared" si="1"/>
        <v>242</v>
      </c>
      <c r="M415" s="9">
        <f t="shared" si="2"/>
        <v>150.8394226</v>
      </c>
      <c r="N415" s="9">
        <f t="shared" si="3"/>
        <v>200.8</v>
      </c>
      <c r="O415" s="9">
        <f t="shared" si="4"/>
        <v>187.4</v>
      </c>
      <c r="P415" s="9">
        <f t="shared" si="6"/>
        <v>273.2</v>
      </c>
      <c r="Q415" s="9">
        <f t="shared" ref="Q415:R415" si="413">average(L409:L415)</f>
        <v>230.4</v>
      </c>
      <c r="R415" s="9">
        <f t="shared" si="413"/>
        <v>148.2289288</v>
      </c>
      <c r="S415" s="11">
        <v>54.53</v>
      </c>
      <c r="T415" s="11">
        <v>53.040000000000006</v>
      </c>
      <c r="U415" s="12">
        <v>9.22</v>
      </c>
      <c r="V415" s="12"/>
      <c r="W415" s="12">
        <v>12.0</v>
      </c>
      <c r="X415" s="8">
        <v>23670.0</v>
      </c>
      <c r="Y415" s="8">
        <v>1670.0</v>
      </c>
      <c r="Z415" s="8">
        <v>1067.0</v>
      </c>
      <c r="AA415" s="8">
        <v>9.316</v>
      </c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 ht="15.75" customHeight="1">
      <c r="A416" s="6">
        <v>415.0</v>
      </c>
      <c r="B416" s="7">
        <v>49724.0</v>
      </c>
      <c r="C416" s="8">
        <v>79.5</v>
      </c>
      <c r="D416" s="8">
        <v>80.36</v>
      </c>
      <c r="E416" s="8">
        <v>80.53</v>
      </c>
      <c r="F416" s="8">
        <v>79.5</v>
      </c>
      <c r="G416" s="8">
        <v>80.36</v>
      </c>
      <c r="H416" s="8">
        <v>80.53</v>
      </c>
      <c r="I416" s="8">
        <v>27.0</v>
      </c>
      <c r="J416" s="8">
        <v>39.9</v>
      </c>
      <c r="K416" s="8">
        <v>80.5</v>
      </c>
      <c r="L416" s="9">
        <f t="shared" si="1"/>
        <v>186</v>
      </c>
      <c r="M416" s="9">
        <f t="shared" si="2"/>
        <v>111.5673787</v>
      </c>
      <c r="N416" s="9">
        <f t="shared" si="3"/>
        <v>242</v>
      </c>
      <c r="O416" s="9">
        <f t="shared" si="4"/>
        <v>200.8</v>
      </c>
      <c r="P416" s="9">
        <f t="shared" si="6"/>
        <v>279.4</v>
      </c>
      <c r="Q416" s="9">
        <f t="shared" ref="Q416:R416" si="414">average(L410:L416)</f>
        <v>217.9428571</v>
      </c>
      <c r="R416" s="9">
        <f t="shared" si="414"/>
        <v>139.1113625</v>
      </c>
      <c r="S416" s="11">
        <v>53.91</v>
      </c>
      <c r="T416" s="11">
        <v>52.53</v>
      </c>
      <c r="U416" s="12">
        <v>7.8</v>
      </c>
      <c r="V416" s="12"/>
      <c r="W416" s="12">
        <v>13.0</v>
      </c>
      <c r="X416" s="8">
        <v>23762.0</v>
      </c>
      <c r="Y416" s="8">
        <v>1595.0</v>
      </c>
      <c r="Z416" s="8">
        <v>772.3</v>
      </c>
      <c r="AA416" s="8">
        <v>9.389</v>
      </c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 ht="15.75" customHeight="1">
      <c r="A417" s="6">
        <v>416.0</v>
      </c>
      <c r="B417" s="7">
        <v>49725.0</v>
      </c>
      <c r="C417" s="8">
        <v>71.4</v>
      </c>
      <c r="D417" s="8">
        <v>90.25</v>
      </c>
      <c r="E417" s="8">
        <v>74.77</v>
      </c>
      <c r="F417" s="8">
        <v>71.4</v>
      </c>
      <c r="G417" s="8">
        <v>90.25</v>
      </c>
      <c r="H417" s="8">
        <v>74.77</v>
      </c>
      <c r="I417" s="8">
        <v>40.0</v>
      </c>
      <c r="J417" s="8">
        <v>46.0</v>
      </c>
      <c r="K417" s="8">
        <v>81.9</v>
      </c>
      <c r="L417" s="9">
        <f t="shared" si="1"/>
        <v>182.8</v>
      </c>
      <c r="M417" s="9">
        <f t="shared" si="2"/>
        <v>111.4309329</v>
      </c>
      <c r="N417" s="9">
        <f t="shared" si="3"/>
        <v>186</v>
      </c>
      <c r="O417" s="9">
        <f t="shared" si="4"/>
        <v>242</v>
      </c>
      <c r="P417" s="9">
        <f t="shared" si="6"/>
        <v>246.4</v>
      </c>
      <c r="Q417" s="9">
        <f t="shared" ref="Q417:R417" si="415">average(L411:L417)</f>
        <v>204.1428571</v>
      </c>
      <c r="R417" s="9">
        <f t="shared" si="415"/>
        <v>129.8677918</v>
      </c>
      <c r="S417" s="11">
        <v>52.96</v>
      </c>
      <c r="T417" s="11">
        <v>52.4075</v>
      </c>
      <c r="U417" s="12">
        <v>7.87</v>
      </c>
      <c r="V417" s="12"/>
      <c r="W417" s="12">
        <v>13.0</v>
      </c>
      <c r="X417" s="8">
        <v>23021.0</v>
      </c>
      <c r="Y417" s="8">
        <v>1576.0</v>
      </c>
      <c r="Z417" s="8">
        <v>1047.0</v>
      </c>
      <c r="AA417" s="8">
        <v>9.237</v>
      </c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 ht="15.75" customHeight="1">
      <c r="A418" s="6">
        <v>417.0</v>
      </c>
      <c r="B418" s="7">
        <v>49726.0</v>
      </c>
      <c r="C418" s="8">
        <v>84.9</v>
      </c>
      <c r="D418" s="8">
        <v>86.93</v>
      </c>
      <c r="E418" s="8">
        <v>77.85</v>
      </c>
      <c r="F418" s="8">
        <v>84.9</v>
      </c>
      <c r="G418" s="8">
        <v>86.93</v>
      </c>
      <c r="H418" s="8">
        <v>77.85</v>
      </c>
      <c r="I418" s="8">
        <v>40.0</v>
      </c>
      <c r="J418" s="8">
        <v>35.5</v>
      </c>
      <c r="K418" s="8">
        <v>79.8</v>
      </c>
      <c r="L418" s="9">
        <f t="shared" si="1"/>
        <v>209.8</v>
      </c>
      <c r="M418" s="9">
        <f t="shared" si="2"/>
        <v>126.2437585</v>
      </c>
      <c r="N418" s="9">
        <f t="shared" si="3"/>
        <v>182.8</v>
      </c>
      <c r="O418" s="9">
        <f t="shared" si="4"/>
        <v>186</v>
      </c>
      <c r="P418" s="9">
        <f t="shared" si="6"/>
        <v>183.6</v>
      </c>
      <c r="Q418" s="9">
        <f t="shared" ref="Q418:R418" si="416">average(L412:L418)</f>
        <v>198.9142857</v>
      </c>
      <c r="R418" s="9">
        <f t="shared" si="416"/>
        <v>126.6389946</v>
      </c>
      <c r="S418" s="11">
        <v>52.6</v>
      </c>
      <c r="T418" s="11">
        <v>51.995</v>
      </c>
      <c r="U418" s="12">
        <v>7.74</v>
      </c>
      <c r="V418" s="12"/>
      <c r="W418" s="12">
        <v>14.0</v>
      </c>
      <c r="X418" s="8">
        <v>22761.0</v>
      </c>
      <c r="Y418" s="8">
        <v>1635.0</v>
      </c>
      <c r="Z418" s="8">
        <v>1115.0</v>
      </c>
      <c r="AA418" s="8">
        <v>9.015</v>
      </c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 ht="15.75" customHeight="1">
      <c r="A419" s="6">
        <v>418.0</v>
      </c>
      <c r="B419" s="7">
        <v>49727.0</v>
      </c>
      <c r="C419" s="8">
        <v>87.3</v>
      </c>
      <c r="D419" s="8">
        <v>93.7</v>
      </c>
      <c r="E419" s="8">
        <v>75.64</v>
      </c>
      <c r="F419" s="8">
        <v>87.3</v>
      </c>
      <c r="G419" s="8">
        <v>93.7</v>
      </c>
      <c r="H419" s="8">
        <v>75.64</v>
      </c>
      <c r="I419" s="8">
        <v>33.0</v>
      </c>
      <c r="J419" s="8">
        <v>42.4</v>
      </c>
      <c r="K419" s="8">
        <v>82.6</v>
      </c>
      <c r="L419" s="9">
        <f t="shared" si="1"/>
        <v>207.6</v>
      </c>
      <c r="M419" s="9">
        <f t="shared" si="2"/>
        <v>135.3045833</v>
      </c>
      <c r="N419" s="9">
        <f t="shared" si="3"/>
        <v>209.8</v>
      </c>
      <c r="O419" s="9">
        <f t="shared" si="4"/>
        <v>182.8</v>
      </c>
      <c r="P419" s="9">
        <f t="shared" si="6"/>
        <v>187.4</v>
      </c>
      <c r="Q419" s="9">
        <f t="shared" ref="Q419:R419" si="417">average(L413:L419)</f>
        <v>202.3428571</v>
      </c>
      <c r="R419" s="9">
        <f t="shared" si="417"/>
        <v>128.4194583</v>
      </c>
      <c r="S419" s="11">
        <v>51.74</v>
      </c>
      <c r="T419" s="11">
        <v>51.7325</v>
      </c>
      <c r="U419" s="12">
        <v>8.54</v>
      </c>
      <c r="V419" s="12"/>
      <c r="W419" s="12">
        <v>13.0</v>
      </c>
      <c r="X419" s="8">
        <v>22582.0</v>
      </c>
      <c r="Y419" s="8" t="e">
        <v>#REF!</v>
      </c>
      <c r="Z419" s="8">
        <v>1265.0</v>
      </c>
      <c r="AA419" s="8">
        <v>8.807</v>
      </c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 ht="15.75" customHeight="1">
      <c r="A420" s="6">
        <v>419.0</v>
      </c>
      <c r="B420" s="7">
        <v>49728.0</v>
      </c>
      <c r="C420" s="8">
        <v>108.1</v>
      </c>
      <c r="D420" s="8">
        <v>89.86</v>
      </c>
      <c r="E420" s="8">
        <v>76.92</v>
      </c>
      <c r="F420" s="8">
        <v>108.1</v>
      </c>
      <c r="G420" s="8">
        <v>89.86</v>
      </c>
      <c r="H420" s="8">
        <v>76.92</v>
      </c>
      <c r="I420" s="8">
        <v>39.0</v>
      </c>
      <c r="J420" s="8">
        <v>32.7</v>
      </c>
      <c r="K420" s="8">
        <v>82.0</v>
      </c>
      <c r="L420" s="9">
        <f t="shared" si="1"/>
        <v>255.2</v>
      </c>
      <c r="M420" s="9">
        <f t="shared" si="2"/>
        <v>159.8955745</v>
      </c>
      <c r="N420" s="9">
        <f t="shared" si="3"/>
        <v>207.6</v>
      </c>
      <c r="O420" s="9">
        <f t="shared" si="4"/>
        <v>209.8</v>
      </c>
      <c r="P420" s="9">
        <f t="shared" si="6"/>
        <v>200.8</v>
      </c>
      <c r="Q420" s="9">
        <f t="shared" ref="Q420:R420" si="418">average(L414:L420)</f>
        <v>212.0285714</v>
      </c>
      <c r="R420" s="9">
        <f t="shared" si="418"/>
        <v>132.5133505</v>
      </c>
      <c r="S420" s="11">
        <v>51.81</v>
      </c>
      <c r="T420" s="11">
        <v>51.724999999999994</v>
      </c>
      <c r="U420" s="12">
        <v>8.54</v>
      </c>
      <c r="V420" s="12"/>
      <c r="W420" s="12">
        <v>11.0</v>
      </c>
      <c r="X420" s="8">
        <v>23247.0</v>
      </c>
      <c r="Y420" s="8">
        <v>1795.0</v>
      </c>
      <c r="Z420" s="8">
        <v>1288.0</v>
      </c>
      <c r="AA420" s="8">
        <v>9.339</v>
      </c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 ht="15.75" customHeight="1">
      <c r="A421" s="6">
        <v>420.0</v>
      </c>
      <c r="B421" s="7">
        <v>49729.0</v>
      </c>
      <c r="C421" s="8">
        <v>90.4</v>
      </c>
      <c r="D421" s="8">
        <v>91.7</v>
      </c>
      <c r="E421" s="8">
        <v>77.11</v>
      </c>
      <c r="F421" s="8">
        <v>90.4</v>
      </c>
      <c r="G421" s="8">
        <v>91.7</v>
      </c>
      <c r="H421" s="8">
        <v>77.11</v>
      </c>
      <c r="I421" s="8">
        <v>34.0</v>
      </c>
      <c r="J421" s="8">
        <v>41.2</v>
      </c>
      <c r="K421" s="8">
        <v>79.5</v>
      </c>
      <c r="L421" s="9">
        <f t="shared" si="1"/>
        <v>214.8</v>
      </c>
      <c r="M421" s="9">
        <f t="shared" si="2"/>
        <v>138.979805</v>
      </c>
      <c r="N421" s="9">
        <f t="shared" si="3"/>
        <v>255.2</v>
      </c>
      <c r="O421" s="9">
        <f t="shared" si="4"/>
        <v>207.6</v>
      </c>
      <c r="P421" s="9">
        <f t="shared" si="6"/>
        <v>242</v>
      </c>
      <c r="Q421" s="9">
        <f t="shared" ref="Q421:R421" si="419">average(L415:L421)</f>
        <v>214.0285714</v>
      </c>
      <c r="R421" s="9">
        <f t="shared" si="419"/>
        <v>133.4659222</v>
      </c>
      <c r="S421" s="11">
        <v>51.88</v>
      </c>
      <c r="T421" s="11">
        <v>51.9075</v>
      </c>
      <c r="U421" s="12">
        <v>8.78</v>
      </c>
      <c r="V421" s="12"/>
      <c r="W421" s="12">
        <v>12.0</v>
      </c>
      <c r="X421" s="8">
        <v>24555.0</v>
      </c>
      <c r="Y421" s="8">
        <v>1670.0</v>
      </c>
      <c r="Z421" s="8">
        <v>1078.0</v>
      </c>
      <c r="AA421" s="8">
        <v>9.709</v>
      </c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 ht="15.75" customHeight="1">
      <c r="A422" s="6">
        <v>421.0</v>
      </c>
      <c r="B422" s="7">
        <v>49730.0</v>
      </c>
      <c r="C422" s="8">
        <v>69.8</v>
      </c>
      <c r="D422" s="8">
        <v>93.17</v>
      </c>
      <c r="E422" s="8">
        <v>77.65</v>
      </c>
      <c r="F422" s="8">
        <v>69.8</v>
      </c>
      <c r="G422" s="8">
        <v>93.17</v>
      </c>
      <c r="H422" s="8">
        <v>77.65</v>
      </c>
      <c r="I422" s="8">
        <v>40.0</v>
      </c>
      <c r="J422" s="8">
        <v>46.6</v>
      </c>
      <c r="K422" s="8">
        <v>82.4</v>
      </c>
      <c r="L422" s="9">
        <f t="shared" si="1"/>
        <v>179.6</v>
      </c>
      <c r="M422" s="9">
        <f t="shared" si="2"/>
        <v>116.355081</v>
      </c>
      <c r="N422" s="9">
        <f t="shared" si="3"/>
        <v>214.8</v>
      </c>
      <c r="O422" s="9">
        <f t="shared" si="4"/>
        <v>255.2</v>
      </c>
      <c r="P422" s="9">
        <f t="shared" si="6"/>
        <v>186</v>
      </c>
      <c r="Q422" s="9">
        <f t="shared" ref="Q422:R422" si="420">average(L416:L422)</f>
        <v>205.1142857</v>
      </c>
      <c r="R422" s="9">
        <f t="shared" si="420"/>
        <v>128.5395877</v>
      </c>
      <c r="S422" s="11">
        <v>52.85</v>
      </c>
      <c r="T422" s="11">
        <v>52.17249999999999</v>
      </c>
      <c r="U422" s="12">
        <v>5.83</v>
      </c>
      <c r="V422" s="12"/>
      <c r="W422" s="12">
        <v>16.0</v>
      </c>
      <c r="X422" s="8">
        <v>25218.0</v>
      </c>
      <c r="Y422" s="8">
        <v>1210.0</v>
      </c>
      <c r="Z422" s="8">
        <v>975.0</v>
      </c>
      <c r="AA422" s="8">
        <v>10.457</v>
      </c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 ht="15.75" customHeight="1">
      <c r="A423" s="6">
        <v>422.0</v>
      </c>
      <c r="B423" s="7">
        <v>49731.0</v>
      </c>
      <c r="C423" s="8">
        <v>86.2</v>
      </c>
      <c r="D423" s="8">
        <v>96.99</v>
      </c>
      <c r="E423" s="8">
        <v>73.0</v>
      </c>
      <c r="F423" s="8">
        <v>86.2</v>
      </c>
      <c r="G423" s="8">
        <v>96.99</v>
      </c>
      <c r="H423" s="8">
        <v>73.0</v>
      </c>
      <c r="I423" s="8">
        <v>40.0</v>
      </c>
      <c r="J423" s="8">
        <v>44.4</v>
      </c>
      <c r="K423" s="8">
        <v>80.5</v>
      </c>
      <c r="L423" s="9">
        <f t="shared" si="1"/>
        <v>212.4</v>
      </c>
      <c r="M423" s="9">
        <f t="shared" si="2"/>
        <v>136.3606548</v>
      </c>
      <c r="N423" s="9">
        <f t="shared" si="3"/>
        <v>179.6</v>
      </c>
      <c r="O423" s="9">
        <f t="shared" si="4"/>
        <v>214.8</v>
      </c>
      <c r="P423" s="9">
        <f t="shared" si="6"/>
        <v>182.8</v>
      </c>
      <c r="Q423" s="9">
        <f t="shared" ref="Q423:R423" si="421">average(L417:L423)</f>
        <v>208.8857143</v>
      </c>
      <c r="R423" s="9">
        <f t="shared" si="421"/>
        <v>132.0814843</v>
      </c>
      <c r="S423" s="11">
        <v>53.84</v>
      </c>
      <c r="T423" s="11">
        <v>52.3525</v>
      </c>
      <c r="U423" s="12">
        <v>7.44</v>
      </c>
      <c r="V423" s="12"/>
      <c r="W423" s="12">
        <v>17.0</v>
      </c>
      <c r="X423" s="8">
        <v>24520.0</v>
      </c>
      <c r="Y423" s="8">
        <v>1295.0</v>
      </c>
      <c r="Z423" s="8">
        <v>1018.0</v>
      </c>
      <c r="AA423" s="8">
        <v>9.734</v>
      </c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 ht="15.75" customHeight="1">
      <c r="A424" s="6">
        <v>423.0</v>
      </c>
      <c r="B424" s="7">
        <v>49732.0</v>
      </c>
      <c r="C424" s="8">
        <v>86.6</v>
      </c>
      <c r="D424" s="8">
        <v>91.35</v>
      </c>
      <c r="E424" s="8">
        <v>81.21</v>
      </c>
      <c r="F424" s="8">
        <v>86.6</v>
      </c>
      <c r="G424" s="8">
        <v>91.35</v>
      </c>
      <c r="H424" s="8">
        <v>81.21</v>
      </c>
      <c r="I424" s="8">
        <v>33.0</v>
      </c>
      <c r="J424" s="8">
        <v>37.5</v>
      </c>
      <c r="K424" s="8">
        <v>82.9</v>
      </c>
      <c r="L424" s="9">
        <f t="shared" si="1"/>
        <v>206.2</v>
      </c>
      <c r="M424" s="9">
        <f t="shared" si="2"/>
        <v>138.7478752</v>
      </c>
      <c r="N424" s="9">
        <f t="shared" si="3"/>
        <v>212.4</v>
      </c>
      <c r="O424" s="9">
        <f t="shared" si="4"/>
        <v>179.6</v>
      </c>
      <c r="P424" s="9">
        <f t="shared" si="6"/>
        <v>209.8</v>
      </c>
      <c r="Q424" s="9">
        <f t="shared" ref="Q424:R424" si="422">average(L418:L424)</f>
        <v>212.2285714</v>
      </c>
      <c r="R424" s="9">
        <f t="shared" si="422"/>
        <v>135.9839046</v>
      </c>
      <c r="S424" s="11">
        <v>53.34</v>
      </c>
      <c r="T424" s="11">
        <v>52.48</v>
      </c>
      <c r="U424" s="12">
        <v>6.18</v>
      </c>
      <c r="V424" s="12"/>
      <c r="W424" s="12">
        <v>14.0</v>
      </c>
      <c r="X424" s="8">
        <v>24277.0</v>
      </c>
      <c r="Y424" s="8">
        <v>1280.0</v>
      </c>
      <c r="Z424" s="8">
        <v>1191.0</v>
      </c>
      <c r="AA424" s="8">
        <v>10.11</v>
      </c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 ht="15.75" customHeight="1">
      <c r="A425" s="6">
        <v>424.0</v>
      </c>
      <c r="B425" s="7">
        <v>49733.0</v>
      </c>
      <c r="C425" s="8">
        <v>47.4</v>
      </c>
      <c r="D425" s="8">
        <v>92.61</v>
      </c>
      <c r="E425" s="8">
        <v>81.2</v>
      </c>
      <c r="F425" s="8">
        <v>47.4</v>
      </c>
      <c r="G425" s="8">
        <v>92.61</v>
      </c>
      <c r="H425" s="8">
        <v>81.2</v>
      </c>
      <c r="I425" s="8">
        <v>40.0</v>
      </c>
      <c r="J425" s="8">
        <v>42.4</v>
      </c>
      <c r="K425" s="8">
        <v>81.8</v>
      </c>
      <c r="L425" s="9">
        <f t="shared" si="1"/>
        <v>134.8</v>
      </c>
      <c r="M425" s="9">
        <f t="shared" si="2"/>
        <v>85.16223536</v>
      </c>
      <c r="N425" s="9">
        <f t="shared" si="3"/>
        <v>206.2</v>
      </c>
      <c r="O425" s="9">
        <f t="shared" si="4"/>
        <v>212.4</v>
      </c>
      <c r="P425" s="9">
        <f t="shared" si="6"/>
        <v>207.6</v>
      </c>
      <c r="Q425" s="9">
        <f t="shared" ref="Q425:R425" si="423">average(L419:L425)</f>
        <v>201.5142857</v>
      </c>
      <c r="R425" s="9">
        <f t="shared" si="423"/>
        <v>130.1151156</v>
      </c>
      <c r="S425" s="11">
        <v>53.59</v>
      </c>
      <c r="T425" s="11">
        <v>52.495</v>
      </c>
      <c r="U425" s="12">
        <v>7.22</v>
      </c>
      <c r="V425" s="12"/>
      <c r="W425" s="12">
        <v>11.0</v>
      </c>
      <c r="X425" s="8">
        <v>24103.0</v>
      </c>
      <c r="Y425" s="8">
        <v>1475.0</v>
      </c>
      <c r="Z425" s="8">
        <v>1306.0</v>
      </c>
      <c r="AA425" s="8">
        <v>9.764</v>
      </c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 ht="15.75" customHeight="1">
      <c r="A426" s="6">
        <v>425.0</v>
      </c>
      <c r="B426" s="7">
        <v>49734.0</v>
      </c>
      <c r="C426" s="8">
        <v>90.5</v>
      </c>
      <c r="D426" s="8">
        <v>89.49</v>
      </c>
      <c r="E426" s="8">
        <v>77.2</v>
      </c>
      <c r="F426" s="8">
        <v>90.5</v>
      </c>
      <c r="G426" s="8">
        <v>89.49</v>
      </c>
      <c r="H426" s="8">
        <v>77.2</v>
      </c>
      <c r="I426" s="8">
        <v>40.0</v>
      </c>
      <c r="J426" s="8">
        <v>42.7</v>
      </c>
      <c r="K426" s="8">
        <v>80.4</v>
      </c>
      <c r="L426" s="9">
        <f t="shared" si="1"/>
        <v>221</v>
      </c>
      <c r="M426" s="9">
        <f t="shared" si="2"/>
        <v>138.7784868</v>
      </c>
      <c r="N426" s="9">
        <f t="shared" si="3"/>
        <v>134.8</v>
      </c>
      <c r="O426" s="9">
        <f t="shared" si="4"/>
        <v>206.2</v>
      </c>
      <c r="P426" s="9">
        <f t="shared" si="6"/>
        <v>255.2</v>
      </c>
      <c r="Q426" s="9">
        <f t="shared" ref="Q426:R426" si="424">average(L420:L426)</f>
        <v>203.4285714</v>
      </c>
      <c r="R426" s="9">
        <f t="shared" si="424"/>
        <v>130.6113875</v>
      </c>
      <c r="S426" s="11">
        <v>54.52</v>
      </c>
      <c r="T426" s="11">
        <v>52.3025</v>
      </c>
      <c r="U426" s="12">
        <v>7.65</v>
      </c>
      <c r="V426" s="12"/>
      <c r="W426" s="12">
        <v>12.0</v>
      </c>
      <c r="X426" s="8">
        <v>23814.0</v>
      </c>
      <c r="Y426" s="8">
        <v>1557.0</v>
      </c>
      <c r="Z426" s="8">
        <v>1250.0</v>
      </c>
      <c r="AA426" s="8">
        <v>9.685</v>
      </c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 ht="15.75" customHeight="1">
      <c r="A427" s="6">
        <v>426.0</v>
      </c>
      <c r="B427" s="7">
        <v>49735.0</v>
      </c>
      <c r="C427" s="8">
        <v>96.8</v>
      </c>
      <c r="D427" s="8">
        <v>94.05</v>
      </c>
      <c r="E427" s="8">
        <v>82.2</v>
      </c>
      <c r="F427" s="8">
        <v>96.8</v>
      </c>
      <c r="G427" s="8">
        <v>94.05</v>
      </c>
      <c r="H427" s="8">
        <v>82.2</v>
      </c>
      <c r="I427" s="8">
        <v>25.0</v>
      </c>
      <c r="J427" s="8">
        <v>41.9</v>
      </c>
      <c r="K427" s="8">
        <v>82.5</v>
      </c>
      <c r="L427" s="9">
        <f t="shared" si="1"/>
        <v>218.6</v>
      </c>
      <c r="M427" s="9">
        <f t="shared" si="2"/>
        <v>158.3122926</v>
      </c>
      <c r="N427" s="9">
        <f t="shared" si="3"/>
        <v>221</v>
      </c>
      <c r="O427" s="9">
        <f t="shared" si="4"/>
        <v>134.8</v>
      </c>
      <c r="P427" s="9">
        <f t="shared" si="6"/>
        <v>214.8</v>
      </c>
      <c r="Q427" s="9">
        <f t="shared" ref="Q427:R427" si="425">average(L421:L427)</f>
        <v>198.2</v>
      </c>
      <c r="R427" s="9">
        <f t="shared" si="425"/>
        <v>130.3852044</v>
      </c>
      <c r="S427" s="11">
        <v>54.74</v>
      </c>
      <c r="T427" s="11">
        <v>52.3575</v>
      </c>
      <c r="U427" s="12">
        <v>5.78</v>
      </c>
      <c r="V427" s="12"/>
      <c r="W427" s="12">
        <v>13.0</v>
      </c>
      <c r="X427" s="8">
        <v>24416.0</v>
      </c>
      <c r="Y427" s="8">
        <v>1331.0</v>
      </c>
      <c r="Z427" s="8">
        <v>1296.0</v>
      </c>
      <c r="AA427" s="8">
        <v>10.075</v>
      </c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 ht="15.75" customHeight="1">
      <c r="A428" s="6">
        <v>427.0</v>
      </c>
      <c r="B428" s="7">
        <v>49736.0</v>
      </c>
      <c r="C428" s="8">
        <v>95.6</v>
      </c>
      <c r="D428" s="8">
        <v>95.18</v>
      </c>
      <c r="E428" s="8">
        <v>82.14</v>
      </c>
      <c r="F428" s="8">
        <v>95.6</v>
      </c>
      <c r="G428" s="8">
        <v>95.18</v>
      </c>
      <c r="H428" s="8">
        <v>82.14</v>
      </c>
      <c r="I428" s="8">
        <v>40.0</v>
      </c>
      <c r="J428" s="8">
        <v>29.2</v>
      </c>
      <c r="K428" s="8">
        <v>81.5</v>
      </c>
      <c r="L428" s="9">
        <f t="shared" si="1"/>
        <v>231.2</v>
      </c>
      <c r="M428" s="9">
        <f t="shared" si="2"/>
        <v>159.000989</v>
      </c>
      <c r="N428" s="9">
        <f t="shared" si="3"/>
        <v>218.6</v>
      </c>
      <c r="O428" s="9">
        <f t="shared" si="4"/>
        <v>221</v>
      </c>
      <c r="P428" s="9">
        <f t="shared" si="6"/>
        <v>179.6</v>
      </c>
      <c r="Q428" s="9">
        <f t="shared" ref="Q428:R428" si="426">average(L422:L428)</f>
        <v>200.5428571</v>
      </c>
      <c r="R428" s="9">
        <f t="shared" si="426"/>
        <v>133.2453735</v>
      </c>
      <c r="S428" s="11">
        <v>54.74</v>
      </c>
      <c r="T428" s="11">
        <v>52.620000000000005</v>
      </c>
      <c r="U428" s="12">
        <v>8.26</v>
      </c>
      <c r="V428" s="12"/>
      <c r="W428" s="12">
        <v>12.0</v>
      </c>
      <c r="X428" s="8">
        <v>25252.0</v>
      </c>
      <c r="Y428" s="8">
        <v>1502.0</v>
      </c>
      <c r="Z428" s="8">
        <v>1208.0</v>
      </c>
      <c r="AA428" s="8">
        <v>10.354</v>
      </c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 ht="15.75" customHeight="1">
      <c r="A429" s="6">
        <v>428.0</v>
      </c>
      <c r="B429" s="7">
        <v>49737.0</v>
      </c>
      <c r="C429" s="8">
        <v>93.7</v>
      </c>
      <c r="D429" s="8">
        <v>92.36</v>
      </c>
      <c r="E429" s="8">
        <v>78.79</v>
      </c>
      <c r="F429" s="8">
        <v>93.7</v>
      </c>
      <c r="G429" s="8">
        <v>92.36</v>
      </c>
      <c r="H429" s="8">
        <v>78.79</v>
      </c>
      <c r="I429" s="8">
        <v>38.0</v>
      </c>
      <c r="J429" s="8">
        <v>36.0</v>
      </c>
      <c r="K429" s="8">
        <v>81.0</v>
      </c>
      <c r="L429" s="9">
        <f t="shared" si="1"/>
        <v>225.4</v>
      </c>
      <c r="M429" s="9">
        <f t="shared" si="2"/>
        <v>147.4526121</v>
      </c>
      <c r="N429" s="9">
        <f t="shared" si="3"/>
        <v>231.2</v>
      </c>
      <c r="O429" s="9">
        <f t="shared" si="4"/>
        <v>218.6</v>
      </c>
      <c r="P429" s="9">
        <f t="shared" si="6"/>
        <v>212.4</v>
      </c>
      <c r="Q429" s="9">
        <f t="shared" ref="Q429:R429" si="427">average(L423:L429)</f>
        <v>207.0857143</v>
      </c>
      <c r="R429" s="9">
        <f t="shared" si="427"/>
        <v>137.687878</v>
      </c>
      <c r="S429" s="11">
        <v>54.52</v>
      </c>
      <c r="T429" s="11">
        <v>52.435</v>
      </c>
      <c r="U429" s="12">
        <v>7.1</v>
      </c>
      <c r="V429" s="12"/>
      <c r="W429" s="12">
        <v>12.0</v>
      </c>
      <c r="X429" s="8">
        <v>26248.0</v>
      </c>
      <c r="Y429" s="8">
        <v>1507.0</v>
      </c>
      <c r="Z429" s="8">
        <v>1345.0</v>
      </c>
      <c r="AA429" s="8">
        <v>11.009</v>
      </c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 ht="15.75" customHeight="1">
      <c r="A430" s="6">
        <v>429.0</v>
      </c>
      <c r="B430" s="7">
        <v>49738.0</v>
      </c>
      <c r="C430" s="8">
        <v>96.0</v>
      </c>
      <c r="D430" s="8">
        <v>92.91</v>
      </c>
      <c r="E430" s="8">
        <v>78.95</v>
      </c>
      <c r="F430" s="8">
        <v>96.0</v>
      </c>
      <c r="G430" s="8">
        <v>92.91</v>
      </c>
      <c r="H430" s="8">
        <v>78.95</v>
      </c>
      <c r="I430" s="8">
        <v>37.0</v>
      </c>
      <c r="J430" s="8">
        <v>38.8</v>
      </c>
      <c r="K430" s="8">
        <v>81.3</v>
      </c>
      <c r="L430" s="9">
        <f t="shared" si="1"/>
        <v>229</v>
      </c>
      <c r="M430" s="9">
        <f t="shared" si="2"/>
        <v>152.5081224</v>
      </c>
      <c r="N430" s="9">
        <f t="shared" si="3"/>
        <v>225.4</v>
      </c>
      <c r="O430" s="9">
        <f t="shared" si="4"/>
        <v>231.2</v>
      </c>
      <c r="P430" s="9">
        <f t="shared" si="6"/>
        <v>206.2</v>
      </c>
      <c r="Q430" s="9">
        <f t="shared" ref="Q430:R430" si="428">average(L424:L430)</f>
        <v>209.4571429</v>
      </c>
      <c r="R430" s="9">
        <f t="shared" si="428"/>
        <v>139.9946591</v>
      </c>
      <c r="S430" s="11">
        <v>54.52</v>
      </c>
      <c r="T430" s="11">
        <v>52.825</v>
      </c>
      <c r="U430" s="12">
        <v>7.79</v>
      </c>
      <c r="V430" s="12"/>
      <c r="W430" s="12">
        <v>12.0</v>
      </c>
      <c r="X430" s="8">
        <v>25644.0</v>
      </c>
      <c r="Y430" s="8">
        <v>1597.0</v>
      </c>
      <c r="Z430" s="8">
        <v>1358.0</v>
      </c>
      <c r="AA430" s="8">
        <v>11.02</v>
      </c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 ht="15.75" customHeight="1">
      <c r="A431" s="6">
        <v>430.0</v>
      </c>
      <c r="B431" s="7">
        <v>49739.0</v>
      </c>
      <c r="C431" s="8">
        <v>95.8</v>
      </c>
      <c r="D431" s="8">
        <v>90.44</v>
      </c>
      <c r="E431" s="8">
        <v>80.86</v>
      </c>
      <c r="F431" s="8">
        <v>95.8</v>
      </c>
      <c r="G431" s="8">
        <v>90.44</v>
      </c>
      <c r="H431" s="8">
        <v>80.86</v>
      </c>
      <c r="I431" s="8">
        <v>38.0</v>
      </c>
      <c r="J431" s="8">
        <v>34.1</v>
      </c>
      <c r="K431" s="8">
        <v>80.4</v>
      </c>
      <c r="L431" s="9">
        <f t="shared" si="1"/>
        <v>229.6</v>
      </c>
      <c r="M431" s="9">
        <f t="shared" si="2"/>
        <v>150.5348981</v>
      </c>
      <c r="N431" s="9">
        <f t="shared" si="3"/>
        <v>229</v>
      </c>
      <c r="O431" s="9">
        <f t="shared" si="4"/>
        <v>225.4</v>
      </c>
      <c r="P431" s="9">
        <f t="shared" si="6"/>
        <v>134.8</v>
      </c>
      <c r="Q431" s="9">
        <f t="shared" ref="Q431:R431" si="429">average(L425:L431)</f>
        <v>212.8</v>
      </c>
      <c r="R431" s="9">
        <f t="shared" si="429"/>
        <v>141.6785195</v>
      </c>
      <c r="S431" s="11">
        <v>52.58</v>
      </c>
      <c r="T431" s="11">
        <v>52.080000000000005</v>
      </c>
      <c r="U431" s="12">
        <v>8.28</v>
      </c>
      <c r="V431" s="12"/>
      <c r="W431" s="12">
        <v>11.0</v>
      </c>
      <c r="X431" s="8">
        <v>26887.0</v>
      </c>
      <c r="Y431" s="8">
        <v>1678.0</v>
      </c>
      <c r="Z431" s="8">
        <v>1393.0</v>
      </c>
      <c r="AA431" s="8">
        <v>11.459</v>
      </c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 ht="15.75" customHeight="1">
      <c r="A432" s="6">
        <v>431.0</v>
      </c>
      <c r="B432" s="7">
        <v>49740.0</v>
      </c>
      <c r="C432" s="8">
        <v>95.1</v>
      </c>
      <c r="D432" s="8">
        <v>94.55</v>
      </c>
      <c r="E432" s="8">
        <v>84.47</v>
      </c>
      <c r="F432" s="8">
        <v>95.1</v>
      </c>
      <c r="G432" s="8">
        <v>94.55</v>
      </c>
      <c r="H432" s="8">
        <v>84.47</v>
      </c>
      <c r="I432" s="8">
        <v>38.0</v>
      </c>
      <c r="J432" s="8">
        <v>34.9</v>
      </c>
      <c r="K432" s="8">
        <v>81.7</v>
      </c>
      <c r="L432" s="9">
        <f t="shared" si="1"/>
        <v>228.2</v>
      </c>
      <c r="M432" s="9">
        <f t="shared" si="2"/>
        <v>162.7409183</v>
      </c>
      <c r="N432" s="9">
        <f t="shared" si="3"/>
        <v>229.6</v>
      </c>
      <c r="O432" s="9">
        <f t="shared" si="4"/>
        <v>229</v>
      </c>
      <c r="P432" s="9">
        <f t="shared" si="6"/>
        <v>221</v>
      </c>
      <c r="Q432" s="9">
        <f t="shared" ref="Q432:R432" si="430">average(L426:L432)</f>
        <v>226.1428571</v>
      </c>
      <c r="R432" s="9">
        <f t="shared" si="430"/>
        <v>152.7611885</v>
      </c>
      <c r="S432" s="11">
        <v>52.5</v>
      </c>
      <c r="T432" s="11">
        <v>52.5775</v>
      </c>
      <c r="U432" s="12">
        <v>9.16</v>
      </c>
      <c r="V432" s="12"/>
      <c r="W432" s="12">
        <v>11.0</v>
      </c>
      <c r="X432" s="8">
        <v>26101.0</v>
      </c>
      <c r="Y432" s="8">
        <v>1651.0</v>
      </c>
      <c r="Z432" s="8">
        <v>1332.0</v>
      </c>
      <c r="AA432" s="8">
        <v>11.765</v>
      </c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 ht="15.75" customHeight="1">
      <c r="A433" s="6">
        <v>432.0</v>
      </c>
      <c r="B433" s="7">
        <v>49741.0</v>
      </c>
      <c r="C433" s="8">
        <v>96.2</v>
      </c>
      <c r="D433" s="8">
        <v>92.36</v>
      </c>
      <c r="E433" s="8">
        <v>81.48</v>
      </c>
      <c r="F433" s="8">
        <v>96.2</v>
      </c>
      <c r="G433" s="8">
        <v>92.36</v>
      </c>
      <c r="H433" s="8">
        <v>81.48</v>
      </c>
      <c r="I433" s="8">
        <v>40.0</v>
      </c>
      <c r="J433" s="8">
        <v>36.8</v>
      </c>
      <c r="K433" s="8">
        <v>80.8</v>
      </c>
      <c r="L433" s="9">
        <f t="shared" si="1"/>
        <v>232.4</v>
      </c>
      <c r="M433" s="9">
        <f t="shared" si="2"/>
        <v>156.6842415</v>
      </c>
      <c r="N433" s="9">
        <f t="shared" si="3"/>
        <v>228.2</v>
      </c>
      <c r="O433" s="9">
        <f t="shared" si="4"/>
        <v>229.6</v>
      </c>
      <c r="P433" s="9">
        <f t="shared" si="6"/>
        <v>218.6</v>
      </c>
      <c r="Q433" s="9">
        <f t="shared" ref="Q433:R433" si="431">average(L427:L433)</f>
        <v>227.7714286</v>
      </c>
      <c r="R433" s="9">
        <f t="shared" si="431"/>
        <v>155.3191534</v>
      </c>
      <c r="S433" s="11">
        <v>53.03</v>
      </c>
      <c r="T433" s="11">
        <v>52.045</v>
      </c>
      <c r="U433" s="12">
        <v>7.39</v>
      </c>
      <c r="V433" s="12"/>
      <c r="W433" s="12">
        <v>14.0</v>
      </c>
      <c r="X433" s="8">
        <v>26713.0</v>
      </c>
      <c r="Y433" s="8">
        <v>1410.0</v>
      </c>
      <c r="Z433" s="8">
        <v>1311.0</v>
      </c>
      <c r="AA433" s="8">
        <v>11.75</v>
      </c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 ht="15.75" customHeight="1">
      <c r="A434" s="6">
        <v>433.0</v>
      </c>
      <c r="B434" s="7">
        <v>49742.0</v>
      </c>
      <c r="C434" s="8">
        <v>90.2</v>
      </c>
      <c r="D434" s="8">
        <v>91.9</v>
      </c>
      <c r="E434" s="8">
        <v>80.49</v>
      </c>
      <c r="F434" s="8">
        <v>90.2</v>
      </c>
      <c r="G434" s="8">
        <v>91.9</v>
      </c>
      <c r="H434" s="8">
        <v>80.49</v>
      </c>
      <c r="I434" s="8">
        <v>27.0</v>
      </c>
      <c r="J434" s="8">
        <v>35.1</v>
      </c>
      <c r="K434" s="8">
        <v>80.8</v>
      </c>
      <c r="L434" s="9">
        <f t="shared" si="1"/>
        <v>207.4</v>
      </c>
      <c r="M434" s="9">
        <f t="shared" si="2"/>
        <v>141.0998552</v>
      </c>
      <c r="N434" s="9">
        <f t="shared" si="3"/>
        <v>232.4</v>
      </c>
      <c r="O434" s="9">
        <f t="shared" si="4"/>
        <v>228.2</v>
      </c>
      <c r="P434" s="9">
        <f t="shared" si="6"/>
        <v>231.2</v>
      </c>
      <c r="Q434" s="9">
        <f t="shared" ref="Q434:R434" si="432">average(L428:L434)</f>
        <v>226.1714286</v>
      </c>
      <c r="R434" s="9">
        <f t="shared" si="432"/>
        <v>152.8602338</v>
      </c>
      <c r="S434" s="11">
        <v>53.24</v>
      </c>
      <c r="T434" s="11">
        <v>52.377500000000005</v>
      </c>
      <c r="U434" s="12">
        <v>7.75</v>
      </c>
      <c r="V434" s="12"/>
      <c r="W434" s="12">
        <v>11.0</v>
      </c>
      <c r="X434" s="8">
        <v>26167.0</v>
      </c>
      <c r="Y434" s="8">
        <v>1622.0</v>
      </c>
      <c r="Z434" s="8">
        <v>1303.0</v>
      </c>
      <c r="AA434" s="8">
        <v>11.313</v>
      </c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 ht="15.75" customHeight="1">
      <c r="A435" s="6">
        <v>434.0</v>
      </c>
      <c r="B435" s="7">
        <v>49743.0</v>
      </c>
      <c r="C435" s="8">
        <v>96.4</v>
      </c>
      <c r="D435" s="8">
        <v>90.76</v>
      </c>
      <c r="E435" s="8">
        <v>80.54</v>
      </c>
      <c r="F435" s="8">
        <v>96.4</v>
      </c>
      <c r="G435" s="8">
        <v>90.76</v>
      </c>
      <c r="H435" s="8">
        <v>80.54</v>
      </c>
      <c r="I435" s="8">
        <v>38.0</v>
      </c>
      <c r="J435" s="8">
        <v>38.6</v>
      </c>
      <c r="K435" s="8">
        <v>79.9</v>
      </c>
      <c r="L435" s="9">
        <f t="shared" si="1"/>
        <v>230.8</v>
      </c>
      <c r="M435" s="9">
        <f t="shared" si="2"/>
        <v>152.6528765</v>
      </c>
      <c r="N435" s="9">
        <f t="shared" si="3"/>
        <v>207.4</v>
      </c>
      <c r="O435" s="9">
        <f t="shared" si="4"/>
        <v>232.4</v>
      </c>
      <c r="P435" s="9">
        <f t="shared" si="6"/>
        <v>225.4</v>
      </c>
      <c r="Q435" s="9">
        <f t="shared" ref="Q435:R435" si="433">average(L429:L435)</f>
        <v>226.1142857</v>
      </c>
      <c r="R435" s="9">
        <f t="shared" si="433"/>
        <v>151.9533606</v>
      </c>
      <c r="S435" s="11">
        <v>53.68</v>
      </c>
      <c r="T435" s="11">
        <v>51.9225</v>
      </c>
      <c r="U435" s="12">
        <v>9.4</v>
      </c>
      <c r="V435" s="12"/>
      <c r="W435" s="12">
        <v>10.0</v>
      </c>
      <c r="X435" s="8">
        <v>26714.0</v>
      </c>
      <c r="Y435" s="8">
        <v>1775.0</v>
      </c>
      <c r="Z435" s="8">
        <v>1265.0</v>
      </c>
      <c r="AA435" s="8">
        <v>12.1</v>
      </c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 ht="15.75" customHeight="1">
      <c r="A436" s="6">
        <v>435.0</v>
      </c>
      <c r="B436" s="7">
        <v>49744.0</v>
      </c>
      <c r="C436" s="8">
        <v>97.0</v>
      </c>
      <c r="D436" s="8">
        <v>94.44</v>
      </c>
      <c r="E436" s="8">
        <v>79.18</v>
      </c>
      <c r="F436" s="8">
        <v>97.0</v>
      </c>
      <c r="G436" s="8">
        <v>94.44</v>
      </c>
      <c r="H436" s="8">
        <v>79.18</v>
      </c>
      <c r="I436" s="8">
        <v>74.0</v>
      </c>
      <c r="J436" s="8">
        <v>36.3</v>
      </c>
      <c r="K436" s="8">
        <v>79.7</v>
      </c>
      <c r="L436" s="9">
        <f t="shared" si="1"/>
        <v>268</v>
      </c>
      <c r="M436" s="9">
        <f t="shared" si="2"/>
        <v>166.4775425</v>
      </c>
      <c r="N436" s="9">
        <f t="shared" si="3"/>
        <v>230.8</v>
      </c>
      <c r="O436" s="9">
        <f t="shared" si="4"/>
        <v>207.4</v>
      </c>
      <c r="P436" s="9">
        <f t="shared" si="6"/>
        <v>229</v>
      </c>
      <c r="Q436" s="9">
        <f t="shared" ref="Q436:R436" si="434">average(L430:L436)</f>
        <v>232.2</v>
      </c>
      <c r="R436" s="9">
        <f t="shared" si="434"/>
        <v>154.6712078</v>
      </c>
      <c r="S436" s="11">
        <v>52.52</v>
      </c>
      <c r="T436" s="11">
        <v>51.7725</v>
      </c>
      <c r="U436" s="12">
        <v>6.89</v>
      </c>
      <c r="V436" s="12"/>
      <c r="W436" s="12">
        <v>12.0</v>
      </c>
      <c r="X436" s="8">
        <v>26195.0</v>
      </c>
      <c r="Y436" s="8">
        <v>1474.0</v>
      </c>
      <c r="Z436" s="8">
        <v>1254.0</v>
      </c>
      <c r="AA436" s="8">
        <v>11.107</v>
      </c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 ht="15.75" customHeight="1">
      <c r="A437" s="6">
        <v>436.0</v>
      </c>
      <c r="B437" s="7">
        <v>49745.0</v>
      </c>
      <c r="C437" s="8">
        <v>84.7</v>
      </c>
      <c r="D437" s="8">
        <v>92.32</v>
      </c>
      <c r="E437" s="8">
        <v>81.03</v>
      </c>
      <c r="F437" s="8">
        <v>84.7</v>
      </c>
      <c r="G437" s="8">
        <v>92.32</v>
      </c>
      <c r="H437" s="8">
        <v>81.03</v>
      </c>
      <c r="I437" s="8">
        <v>73.0</v>
      </c>
      <c r="J437" s="8">
        <v>34.0</v>
      </c>
      <c r="K437" s="8">
        <v>80.5</v>
      </c>
      <c r="L437" s="9">
        <f t="shared" si="1"/>
        <v>242.4</v>
      </c>
      <c r="M437" s="9">
        <f t="shared" si="2"/>
        <v>146.7029818</v>
      </c>
      <c r="N437" s="9">
        <f t="shared" si="3"/>
        <v>268</v>
      </c>
      <c r="O437" s="9">
        <f t="shared" si="4"/>
        <v>230.8</v>
      </c>
      <c r="P437" s="9">
        <f t="shared" si="6"/>
        <v>229.6</v>
      </c>
      <c r="Q437" s="9">
        <f t="shared" ref="Q437:R437" si="435">average(L431:L437)</f>
        <v>234.1142857</v>
      </c>
      <c r="R437" s="9">
        <f t="shared" si="435"/>
        <v>153.841902</v>
      </c>
      <c r="S437" s="11">
        <v>52.83</v>
      </c>
      <c r="T437" s="11">
        <v>51.695</v>
      </c>
      <c r="U437" s="12">
        <v>7.14</v>
      </c>
      <c r="V437" s="12"/>
      <c r="W437" s="12">
        <v>12.0</v>
      </c>
      <c r="X437" s="8">
        <v>26707.0</v>
      </c>
      <c r="Y437" s="8">
        <v>1412.0</v>
      </c>
      <c r="Z437" s="8">
        <v>1277.0</v>
      </c>
      <c r="AA437" s="8">
        <v>11.007</v>
      </c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 ht="15.75" customHeight="1">
      <c r="A438" s="6">
        <v>437.0</v>
      </c>
      <c r="B438" s="7">
        <v>49746.0</v>
      </c>
      <c r="C438" s="8">
        <v>96.7</v>
      </c>
      <c r="D438" s="8">
        <v>92.77</v>
      </c>
      <c r="E438" s="8">
        <v>79.24</v>
      </c>
      <c r="F438" s="8">
        <v>96.7</v>
      </c>
      <c r="G438" s="8">
        <v>92.77</v>
      </c>
      <c r="H438" s="8">
        <v>79.24</v>
      </c>
      <c r="I438" s="8">
        <v>78.0</v>
      </c>
      <c r="J438" s="8">
        <v>36.4</v>
      </c>
      <c r="K438" s="8">
        <v>79.5</v>
      </c>
      <c r="L438" s="9">
        <f t="shared" si="1"/>
        <v>271.4</v>
      </c>
      <c r="M438" s="9">
        <f t="shared" si="2"/>
        <v>164.7418134</v>
      </c>
      <c r="N438" s="9">
        <f t="shared" si="3"/>
        <v>242.4</v>
      </c>
      <c r="O438" s="9">
        <f t="shared" si="4"/>
        <v>268</v>
      </c>
      <c r="P438" s="9">
        <f t="shared" si="6"/>
        <v>228.2</v>
      </c>
      <c r="Q438" s="9">
        <f t="shared" ref="Q438:R438" si="436">average(L432:L438)</f>
        <v>240.0857143</v>
      </c>
      <c r="R438" s="9">
        <f t="shared" si="436"/>
        <v>155.8714613</v>
      </c>
      <c r="S438" s="11">
        <v>54.18</v>
      </c>
      <c r="T438" s="11">
        <v>51.9875</v>
      </c>
      <c r="U438" s="12">
        <v>6.81</v>
      </c>
      <c r="V438" s="12"/>
      <c r="W438" s="12">
        <v>13.0</v>
      </c>
      <c r="X438" s="8">
        <v>27236.0</v>
      </c>
      <c r="Y438" s="8">
        <v>1350.0</v>
      </c>
      <c r="Z438" s="8">
        <v>1278.0</v>
      </c>
      <c r="AA438" s="8">
        <v>11.079</v>
      </c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 ht="15.75" customHeight="1">
      <c r="A439" s="6">
        <v>438.0</v>
      </c>
      <c r="B439" s="7">
        <v>49747.0</v>
      </c>
      <c r="C439" s="8">
        <v>60.4</v>
      </c>
      <c r="D439" s="8">
        <v>93.02</v>
      </c>
      <c r="E439" s="8">
        <v>80.32</v>
      </c>
      <c r="F439" s="8">
        <v>60.4</v>
      </c>
      <c r="G439" s="8">
        <v>93.02</v>
      </c>
      <c r="H439" s="8">
        <v>80.32</v>
      </c>
      <c r="I439" s="8">
        <v>2.0</v>
      </c>
      <c r="J439" s="8">
        <v>37.0</v>
      </c>
      <c r="K439" s="8">
        <v>80.6</v>
      </c>
      <c r="L439" s="9">
        <f t="shared" si="1"/>
        <v>122.8</v>
      </c>
      <c r="M439" s="9">
        <f t="shared" si="2"/>
        <v>90.85054611</v>
      </c>
      <c r="N439" s="9">
        <f t="shared" si="3"/>
        <v>271.4</v>
      </c>
      <c r="O439" s="9">
        <f t="shared" si="4"/>
        <v>242.4</v>
      </c>
      <c r="P439" s="9">
        <f t="shared" si="6"/>
        <v>232.4</v>
      </c>
      <c r="Q439" s="9">
        <f t="shared" ref="Q439:R439" si="437">average(L433:L439)</f>
        <v>225.0285714</v>
      </c>
      <c r="R439" s="9">
        <f t="shared" si="437"/>
        <v>145.6014082</v>
      </c>
      <c r="S439" s="11">
        <v>54.18</v>
      </c>
      <c r="T439" s="11">
        <v>52.254999999999995</v>
      </c>
      <c r="U439" s="12">
        <v>4.51</v>
      </c>
      <c r="V439" s="12"/>
      <c r="W439" s="12">
        <v>15.0</v>
      </c>
      <c r="X439" s="8">
        <v>23224.0</v>
      </c>
      <c r="Y439" s="8">
        <v>1124.0</v>
      </c>
      <c r="Z439" s="8">
        <v>1058.0</v>
      </c>
      <c r="AA439" s="8">
        <v>8.537</v>
      </c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 ht="15.75" customHeight="1">
      <c r="A440" s="6">
        <v>439.0</v>
      </c>
      <c r="B440" s="7">
        <v>49748.0</v>
      </c>
      <c r="C440" s="8">
        <v>80.8</v>
      </c>
      <c r="D440" s="8">
        <v>93.32</v>
      </c>
      <c r="E440" s="8">
        <v>79.85</v>
      </c>
      <c r="F440" s="8">
        <v>80.8</v>
      </c>
      <c r="G440" s="8">
        <v>93.32</v>
      </c>
      <c r="H440" s="8">
        <v>79.85</v>
      </c>
      <c r="I440" s="8">
        <v>3.0</v>
      </c>
      <c r="J440" s="8">
        <v>42.0</v>
      </c>
      <c r="K440" s="8">
        <v>80.3</v>
      </c>
      <c r="L440" s="9">
        <f t="shared" si="1"/>
        <v>164.6</v>
      </c>
      <c r="M440" s="9">
        <f t="shared" si="2"/>
        <v>121.4296683</v>
      </c>
      <c r="N440" s="9">
        <f t="shared" si="3"/>
        <v>122.8</v>
      </c>
      <c r="O440" s="9">
        <f t="shared" si="4"/>
        <v>271.4</v>
      </c>
      <c r="P440" s="9">
        <f t="shared" si="6"/>
        <v>207.4</v>
      </c>
      <c r="Q440" s="9">
        <f t="shared" ref="Q440:R440" si="438">average(L434:L440)</f>
        <v>215.3428571</v>
      </c>
      <c r="R440" s="9">
        <f t="shared" si="438"/>
        <v>140.5650406</v>
      </c>
      <c r="S440" s="11">
        <v>54.18</v>
      </c>
      <c r="T440" s="11">
        <v>51.919999999999995</v>
      </c>
      <c r="U440" s="12">
        <v>8.62</v>
      </c>
      <c r="V440" s="12"/>
      <c r="W440" s="12">
        <v>10.0</v>
      </c>
      <c r="X440" s="8">
        <v>23940.0</v>
      </c>
      <c r="Y440" s="8">
        <v>1616.0</v>
      </c>
      <c r="Z440" s="8">
        <v>1227.0</v>
      </c>
      <c r="AA440" s="8">
        <v>9.231</v>
      </c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 ht="15.75" customHeight="1">
      <c r="A441" s="6">
        <v>440.0</v>
      </c>
      <c r="B441" s="7">
        <v>49749.0</v>
      </c>
      <c r="C441" s="8">
        <v>63.1</v>
      </c>
      <c r="D441" s="8">
        <v>93.89</v>
      </c>
      <c r="E441" s="8">
        <v>79.18</v>
      </c>
      <c r="F441" s="8">
        <v>63.1</v>
      </c>
      <c r="G441" s="8">
        <v>93.89</v>
      </c>
      <c r="H441" s="8">
        <v>79.18</v>
      </c>
      <c r="I441" s="8">
        <v>66.0</v>
      </c>
      <c r="J441" s="8">
        <v>44.1</v>
      </c>
      <c r="K441" s="8">
        <v>80.7</v>
      </c>
      <c r="L441" s="9">
        <f t="shared" si="1"/>
        <v>192.2</v>
      </c>
      <c r="M441" s="9">
        <f t="shared" si="2"/>
        <v>117.3082747</v>
      </c>
      <c r="N441" s="9">
        <f t="shared" si="3"/>
        <v>164.6</v>
      </c>
      <c r="O441" s="9">
        <f t="shared" si="4"/>
        <v>122.8</v>
      </c>
      <c r="P441" s="9">
        <f t="shared" si="6"/>
        <v>230.8</v>
      </c>
      <c r="Q441" s="9">
        <f t="shared" ref="Q441:R441" si="439">average(L435:L441)</f>
        <v>213.1714286</v>
      </c>
      <c r="R441" s="9">
        <f t="shared" si="439"/>
        <v>137.1662433</v>
      </c>
      <c r="S441" s="11">
        <v>54.18</v>
      </c>
      <c r="T441" s="11">
        <v>51.31</v>
      </c>
      <c r="U441" s="12">
        <v>5.9</v>
      </c>
      <c r="V441" s="12"/>
      <c r="W441" s="12">
        <v>13.0</v>
      </c>
      <c r="X441" s="8">
        <v>24099.0</v>
      </c>
      <c r="Y441" s="8">
        <v>1295.0</v>
      </c>
      <c r="Z441" s="8">
        <v>1191.0</v>
      </c>
      <c r="AA441" s="8">
        <v>8.688</v>
      </c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 ht="15.75" customHeight="1">
      <c r="A442" s="6">
        <v>441.0</v>
      </c>
      <c r="B442" s="7">
        <v>49750.0</v>
      </c>
      <c r="C442" s="8">
        <v>84.8</v>
      </c>
      <c r="D442" s="8">
        <v>92.76</v>
      </c>
      <c r="E442" s="8">
        <v>80.83</v>
      </c>
      <c r="F442" s="8">
        <v>84.8</v>
      </c>
      <c r="G442" s="8">
        <v>92.76</v>
      </c>
      <c r="H442" s="8">
        <v>80.83</v>
      </c>
      <c r="I442" s="8">
        <v>39.0</v>
      </c>
      <c r="J442" s="8">
        <v>40.1</v>
      </c>
      <c r="K442" s="8">
        <v>78.2</v>
      </c>
      <c r="L442" s="9">
        <f t="shared" si="1"/>
        <v>208.6</v>
      </c>
      <c r="M442" s="9">
        <f t="shared" si="2"/>
        <v>139.39223</v>
      </c>
      <c r="N442" s="9">
        <f t="shared" si="3"/>
        <v>192.2</v>
      </c>
      <c r="O442" s="9">
        <f t="shared" si="4"/>
        <v>164.6</v>
      </c>
      <c r="P442" s="9">
        <f t="shared" si="6"/>
        <v>268</v>
      </c>
      <c r="Q442" s="9">
        <f t="shared" ref="Q442:R442" si="440">average(L436:L442)</f>
        <v>210</v>
      </c>
      <c r="R442" s="9">
        <f t="shared" si="440"/>
        <v>135.2718653</v>
      </c>
      <c r="S442" s="11">
        <v>54.18</v>
      </c>
      <c r="T442" s="11">
        <v>50.605000000000004</v>
      </c>
      <c r="U442" s="12">
        <v>3.43</v>
      </c>
      <c r="V442" s="12"/>
      <c r="W442" s="12">
        <v>22.0</v>
      </c>
      <c r="X442" s="8">
        <v>23872.0</v>
      </c>
      <c r="Y442" s="8">
        <v>1081.0</v>
      </c>
      <c r="Z442" s="8">
        <v>1214.0</v>
      </c>
      <c r="AA442" s="8">
        <v>8.94</v>
      </c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 ht="15.75" customHeight="1">
      <c r="A443" s="6">
        <v>442.0</v>
      </c>
      <c r="B443" s="7">
        <v>49751.0</v>
      </c>
      <c r="C443" s="8">
        <v>81.9</v>
      </c>
      <c r="D443" s="8">
        <v>92.5</v>
      </c>
      <c r="E443" s="8">
        <v>81.04</v>
      </c>
      <c r="F443" s="8">
        <v>81.9</v>
      </c>
      <c r="G443" s="8">
        <v>92.5</v>
      </c>
      <c r="H443" s="8">
        <v>81.04</v>
      </c>
      <c r="I443" s="8">
        <v>29.0</v>
      </c>
      <c r="J443" s="8">
        <v>23.9</v>
      </c>
      <c r="K443" s="8">
        <v>79.6</v>
      </c>
      <c r="L443" s="9">
        <f t="shared" si="1"/>
        <v>192.8</v>
      </c>
      <c r="M443" s="9">
        <f t="shared" si="2"/>
        <v>128.304832</v>
      </c>
      <c r="N443" s="9">
        <f t="shared" si="3"/>
        <v>208.6</v>
      </c>
      <c r="O443" s="9">
        <f t="shared" si="4"/>
        <v>192.2</v>
      </c>
      <c r="P443" s="9">
        <f t="shared" si="6"/>
        <v>242.4</v>
      </c>
      <c r="Q443" s="9">
        <f t="shared" ref="Q443:R443" si="441">average(L437:L443)</f>
        <v>199.2571429</v>
      </c>
      <c r="R443" s="9">
        <f t="shared" si="441"/>
        <v>129.8186209</v>
      </c>
      <c r="S443" s="11">
        <v>54.18</v>
      </c>
      <c r="T443" s="11">
        <v>50.385000000000005</v>
      </c>
      <c r="U443" s="12">
        <v>8.58</v>
      </c>
      <c r="V443" s="12"/>
      <c r="W443" s="12">
        <v>11.0</v>
      </c>
      <c r="X443" s="8">
        <v>22404.0</v>
      </c>
      <c r="Y443" s="8">
        <v>1849.0</v>
      </c>
      <c r="Z443" s="8">
        <v>1050.0</v>
      </c>
      <c r="AA443" s="8">
        <v>8.971</v>
      </c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 ht="15.75" customHeight="1">
      <c r="A444" s="6">
        <v>443.0</v>
      </c>
      <c r="B444" s="7">
        <v>49752.0</v>
      </c>
      <c r="C444" s="8">
        <v>86.6</v>
      </c>
      <c r="D444" s="8">
        <v>91.54</v>
      </c>
      <c r="E444" s="8">
        <v>84.95</v>
      </c>
      <c r="F444" s="8">
        <v>86.6</v>
      </c>
      <c r="G444" s="8">
        <v>91.54</v>
      </c>
      <c r="H444" s="8">
        <v>84.95</v>
      </c>
      <c r="I444" s="8">
        <v>51.0</v>
      </c>
      <c r="J444" s="8">
        <v>33.2</v>
      </c>
      <c r="K444" s="8">
        <v>77.7</v>
      </c>
      <c r="L444" s="9">
        <f t="shared" si="1"/>
        <v>224.2</v>
      </c>
      <c r="M444" s="9">
        <f t="shared" si="2"/>
        <v>147.8420784</v>
      </c>
      <c r="N444" s="9">
        <f t="shared" si="3"/>
        <v>192.8</v>
      </c>
      <c r="O444" s="9">
        <f t="shared" si="4"/>
        <v>208.6</v>
      </c>
      <c r="P444" s="9">
        <f t="shared" si="6"/>
        <v>271.4</v>
      </c>
      <c r="Q444" s="9">
        <f t="shared" ref="Q444:R444" si="442">average(L438:L444)</f>
        <v>196.6571429</v>
      </c>
      <c r="R444" s="9">
        <f t="shared" si="442"/>
        <v>129.981349</v>
      </c>
      <c r="S444" s="11">
        <v>51.24</v>
      </c>
      <c r="T444" s="11">
        <v>50.2425</v>
      </c>
      <c r="U444" s="12">
        <v>7.0</v>
      </c>
      <c r="V444" s="12"/>
      <c r="W444" s="12">
        <v>13.0</v>
      </c>
      <c r="X444" s="8">
        <v>24103.0</v>
      </c>
      <c r="Y444" s="8">
        <v>1561.0</v>
      </c>
      <c r="Z444" s="8">
        <v>1073.0</v>
      </c>
      <c r="AA444" s="8">
        <v>9.7</v>
      </c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 ht="15.75" customHeight="1">
      <c r="A445" s="6">
        <v>444.0</v>
      </c>
      <c r="B445" s="7">
        <v>49753.0</v>
      </c>
      <c r="C445" s="8">
        <v>73.5</v>
      </c>
      <c r="D445" s="8">
        <v>90.91</v>
      </c>
      <c r="E445" s="8">
        <v>83.16</v>
      </c>
      <c r="F445" s="8">
        <v>73.5</v>
      </c>
      <c r="G445" s="8">
        <v>90.91</v>
      </c>
      <c r="H445" s="8">
        <v>83.16</v>
      </c>
      <c r="I445" s="8">
        <v>21.0</v>
      </c>
      <c r="J445" s="8">
        <v>41.6</v>
      </c>
      <c r="K445" s="8">
        <v>83.4</v>
      </c>
      <c r="L445" s="9">
        <f t="shared" si="1"/>
        <v>168</v>
      </c>
      <c r="M445" s="9">
        <f t="shared" si="2"/>
        <v>118.4189353</v>
      </c>
      <c r="N445" s="9">
        <f t="shared" si="3"/>
        <v>224.2</v>
      </c>
      <c r="O445" s="9">
        <f t="shared" si="4"/>
        <v>192.8</v>
      </c>
      <c r="P445" s="9">
        <f t="shared" si="6"/>
        <v>122.8</v>
      </c>
      <c r="Q445" s="9">
        <f t="shared" ref="Q445:R445" si="443">average(L439:L445)</f>
        <v>181.8857143</v>
      </c>
      <c r="R445" s="9">
        <f t="shared" si="443"/>
        <v>123.363795</v>
      </c>
      <c r="S445" s="11">
        <v>52.14</v>
      </c>
      <c r="T445" s="11">
        <v>50.489999999999995</v>
      </c>
      <c r="U445" s="12">
        <v>7.29</v>
      </c>
      <c r="V445" s="12"/>
      <c r="W445" s="12">
        <v>13.0</v>
      </c>
      <c r="X445" s="8">
        <v>22249.0</v>
      </c>
      <c r="Y445" s="8">
        <v>1467.0</v>
      </c>
      <c r="Z445" s="8">
        <v>1088.0</v>
      </c>
      <c r="AA445" s="8">
        <v>8.876</v>
      </c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 ht="15.75" customHeight="1">
      <c r="A446" s="6">
        <v>445.0</v>
      </c>
      <c r="B446" s="7">
        <v>49754.0</v>
      </c>
      <c r="C446" s="8">
        <v>60.9</v>
      </c>
      <c r="D446" s="8">
        <v>91.78</v>
      </c>
      <c r="E446" s="8">
        <v>81.73</v>
      </c>
      <c r="F446" s="8">
        <v>60.9</v>
      </c>
      <c r="G446" s="8">
        <v>91.78</v>
      </c>
      <c r="H446" s="8">
        <v>81.73</v>
      </c>
      <c r="I446" s="8">
        <v>30.0</v>
      </c>
      <c r="J446" s="8">
        <v>38.3</v>
      </c>
      <c r="K446" s="8">
        <v>77.9</v>
      </c>
      <c r="L446" s="9">
        <f t="shared" si="1"/>
        <v>151.8</v>
      </c>
      <c r="M446" s="9">
        <f t="shared" si="2"/>
        <v>100.3150751</v>
      </c>
      <c r="N446" s="9">
        <f t="shared" si="3"/>
        <v>168</v>
      </c>
      <c r="O446" s="9">
        <f t="shared" si="4"/>
        <v>224.2</v>
      </c>
      <c r="P446" s="9">
        <f t="shared" si="6"/>
        <v>164.6</v>
      </c>
      <c r="Q446" s="9">
        <f t="shared" ref="Q446:R446" si="444">average(L440:L446)</f>
        <v>186.0285714</v>
      </c>
      <c r="R446" s="9">
        <f t="shared" si="444"/>
        <v>124.7158705</v>
      </c>
      <c r="S446" s="11">
        <v>52.92</v>
      </c>
      <c r="T446" s="11">
        <v>50.8275</v>
      </c>
      <c r="U446" s="12">
        <v>6.56</v>
      </c>
      <c r="V446" s="12"/>
      <c r="W446" s="12">
        <v>12.0</v>
      </c>
      <c r="X446" s="8">
        <v>24115.0</v>
      </c>
      <c r="Y446" s="8">
        <v>1591.0</v>
      </c>
      <c r="Z446" s="8">
        <v>604.0</v>
      </c>
      <c r="AA446" s="8">
        <v>9.36</v>
      </c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 ht="15.75" customHeight="1">
      <c r="A447" s="6">
        <v>446.0</v>
      </c>
      <c r="B447" s="7">
        <v>49755.0</v>
      </c>
      <c r="C447" s="8">
        <v>69.3</v>
      </c>
      <c r="D447" s="8">
        <v>93.0</v>
      </c>
      <c r="E447" s="8">
        <v>78.52</v>
      </c>
      <c r="F447" s="8">
        <v>69.3</v>
      </c>
      <c r="G447" s="8">
        <v>93.0</v>
      </c>
      <c r="H447" s="8">
        <v>78.52</v>
      </c>
      <c r="I447" s="8">
        <v>41.0</v>
      </c>
      <c r="J447" s="8">
        <v>32.5</v>
      </c>
      <c r="K447" s="8">
        <v>77.5</v>
      </c>
      <c r="L447" s="9">
        <f t="shared" si="1"/>
        <v>179.6</v>
      </c>
      <c r="M447" s="9">
        <f t="shared" si="2"/>
        <v>111.5375846</v>
      </c>
      <c r="N447" s="9">
        <f t="shared" si="3"/>
        <v>151.8</v>
      </c>
      <c r="O447" s="9">
        <f t="shared" si="4"/>
        <v>168</v>
      </c>
      <c r="P447" s="9">
        <f t="shared" si="6"/>
        <v>192.2</v>
      </c>
      <c r="Q447" s="9">
        <f t="shared" ref="Q447:R447" si="445">average(L441:L447)</f>
        <v>188.1714286</v>
      </c>
      <c r="R447" s="9">
        <f t="shared" si="445"/>
        <v>123.3027157</v>
      </c>
      <c r="S447" s="11">
        <v>50.57</v>
      </c>
      <c r="T447" s="11">
        <v>50.067499999999995</v>
      </c>
      <c r="U447" s="12">
        <v>4.25</v>
      </c>
      <c r="V447" s="12"/>
      <c r="W447" s="12">
        <v>14.0</v>
      </c>
      <c r="X447" s="8">
        <v>24435.0</v>
      </c>
      <c r="Y447" s="8">
        <v>1365.0</v>
      </c>
      <c r="Z447" s="8">
        <v>589.0</v>
      </c>
      <c r="AA447" s="8">
        <v>9.662</v>
      </c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 ht="15.75" customHeight="1">
      <c r="A448" s="6">
        <v>447.0</v>
      </c>
      <c r="B448" s="7">
        <v>49756.0</v>
      </c>
      <c r="C448" s="8">
        <v>88.2</v>
      </c>
      <c r="D448" s="8">
        <v>94.71</v>
      </c>
      <c r="E448" s="8">
        <v>81.55</v>
      </c>
      <c r="F448" s="8">
        <v>88.2</v>
      </c>
      <c r="G448" s="8">
        <v>94.71</v>
      </c>
      <c r="H448" s="8">
        <v>81.55</v>
      </c>
      <c r="I448" s="8">
        <v>20.0</v>
      </c>
      <c r="J448" s="8">
        <v>22.5</v>
      </c>
      <c r="K448" s="8">
        <v>76.8</v>
      </c>
      <c r="L448" s="9">
        <f t="shared" si="1"/>
        <v>196.4</v>
      </c>
      <c r="M448" s="9">
        <f t="shared" si="2"/>
        <v>139.7003128</v>
      </c>
      <c r="N448" s="9">
        <f t="shared" si="3"/>
        <v>179.6</v>
      </c>
      <c r="O448" s="9">
        <f t="shared" si="4"/>
        <v>151.8</v>
      </c>
      <c r="P448" s="9">
        <f t="shared" si="6"/>
        <v>208.6</v>
      </c>
      <c r="Q448" s="9">
        <f t="shared" ref="Q448:R448" si="446">average(L442:L448)</f>
        <v>188.7714286</v>
      </c>
      <c r="R448" s="9">
        <f t="shared" si="446"/>
        <v>126.5015783</v>
      </c>
      <c r="S448" s="11">
        <v>50.43</v>
      </c>
      <c r="T448" s="11">
        <v>49.527499999999996</v>
      </c>
      <c r="U448" s="12">
        <v>7.35</v>
      </c>
      <c r="V448" s="12"/>
      <c r="W448" s="12">
        <v>20.0</v>
      </c>
      <c r="X448" s="8">
        <v>27294.0</v>
      </c>
      <c r="Y448" s="8">
        <v>1525.0</v>
      </c>
      <c r="Z448" s="8">
        <v>835.0</v>
      </c>
      <c r="AA448" s="8">
        <v>11.171</v>
      </c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 ht="15.75" customHeight="1">
      <c r="A449" s="6">
        <v>448.0</v>
      </c>
      <c r="B449" s="7">
        <v>49757.0</v>
      </c>
      <c r="C449" s="8">
        <v>79.4</v>
      </c>
      <c r="D449" s="8">
        <v>91.52</v>
      </c>
      <c r="E449" s="8">
        <v>81.37</v>
      </c>
      <c r="F449" s="8">
        <v>79.4</v>
      </c>
      <c r="G449" s="8">
        <v>91.52</v>
      </c>
      <c r="H449" s="8">
        <v>81.37</v>
      </c>
      <c r="I449" s="8">
        <v>35.0</v>
      </c>
      <c r="J449" s="8">
        <v>30.4</v>
      </c>
      <c r="K449" s="8">
        <v>82.6</v>
      </c>
      <c r="L449" s="9">
        <f t="shared" si="1"/>
        <v>193.8</v>
      </c>
      <c r="M449" s="9">
        <f t="shared" si="2"/>
        <v>127.0467205</v>
      </c>
      <c r="N449" s="9">
        <f t="shared" si="3"/>
        <v>196.4</v>
      </c>
      <c r="O449" s="9">
        <f t="shared" si="4"/>
        <v>179.6</v>
      </c>
      <c r="P449" s="9">
        <f t="shared" si="6"/>
        <v>192.8</v>
      </c>
      <c r="Q449" s="9">
        <f t="shared" ref="Q449:R449" si="447">average(L443:L449)</f>
        <v>186.6571429</v>
      </c>
      <c r="R449" s="9">
        <f t="shared" si="447"/>
        <v>124.7379341</v>
      </c>
      <c r="S449" s="11">
        <v>52.06</v>
      </c>
      <c r="T449" s="11">
        <v>49.5675</v>
      </c>
      <c r="U449" s="12">
        <v>7.61</v>
      </c>
      <c r="V449" s="12"/>
      <c r="W449" s="12">
        <v>12.0</v>
      </c>
      <c r="X449" s="8">
        <v>25772.0</v>
      </c>
      <c r="Y449" s="8">
        <v>1775.0</v>
      </c>
      <c r="Z449" s="8">
        <v>1158.0</v>
      </c>
      <c r="AA449" s="8">
        <v>10.585</v>
      </c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 ht="15.75" customHeight="1">
      <c r="A450" s="6">
        <v>449.0</v>
      </c>
      <c r="B450" s="7">
        <v>49758.0</v>
      </c>
      <c r="C450" s="8">
        <v>100.2</v>
      </c>
      <c r="D450" s="8">
        <v>88.47</v>
      </c>
      <c r="E450" s="8">
        <v>80.01</v>
      </c>
      <c r="F450" s="8">
        <v>100.2</v>
      </c>
      <c r="G450" s="8">
        <v>88.47</v>
      </c>
      <c r="H450" s="8">
        <v>80.01</v>
      </c>
      <c r="I450" s="8">
        <v>32.0</v>
      </c>
      <c r="J450" s="8">
        <v>26.3</v>
      </c>
      <c r="K450" s="8">
        <v>75.7</v>
      </c>
      <c r="L450" s="9">
        <f t="shared" si="1"/>
        <v>232.4</v>
      </c>
      <c r="M450" s="9">
        <f t="shared" si="2"/>
        <v>148.2237454</v>
      </c>
      <c r="N450" s="9">
        <f t="shared" si="3"/>
        <v>193.8</v>
      </c>
      <c r="O450" s="9">
        <f t="shared" si="4"/>
        <v>196.4</v>
      </c>
      <c r="P450" s="9">
        <f t="shared" si="6"/>
        <v>224.2</v>
      </c>
      <c r="Q450" s="9">
        <f t="shared" ref="Q450:R450" si="448">average(L444:L450)</f>
        <v>192.3142857</v>
      </c>
      <c r="R450" s="9">
        <f t="shared" si="448"/>
        <v>127.5834932</v>
      </c>
      <c r="S450" s="11">
        <v>54.67</v>
      </c>
      <c r="T450" s="11">
        <v>49.32</v>
      </c>
      <c r="U450" s="12">
        <v>7.67</v>
      </c>
      <c r="V450" s="12"/>
      <c r="W450" s="12">
        <v>12.0</v>
      </c>
      <c r="X450" s="8">
        <v>27441.0</v>
      </c>
      <c r="Y450" s="8">
        <v>1710.0</v>
      </c>
      <c r="Z450" s="8">
        <v>1240.0</v>
      </c>
      <c r="AA450" s="8">
        <v>11.282</v>
      </c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 ht="15.75" customHeight="1">
      <c r="A451" s="6">
        <v>450.0</v>
      </c>
      <c r="B451" s="7">
        <v>49759.0</v>
      </c>
      <c r="C451" s="8">
        <v>103.1</v>
      </c>
      <c r="D451" s="8">
        <v>93.12</v>
      </c>
      <c r="E451" s="8">
        <v>82.73</v>
      </c>
      <c r="F451" s="8">
        <v>103.1</v>
      </c>
      <c r="G451" s="8">
        <v>93.12</v>
      </c>
      <c r="H451" s="8">
        <v>82.73</v>
      </c>
      <c r="I451" s="8">
        <v>39.0</v>
      </c>
      <c r="J451" s="8">
        <v>26.2</v>
      </c>
      <c r="K451" s="8">
        <v>77.0</v>
      </c>
      <c r="L451" s="9">
        <f t="shared" si="1"/>
        <v>245.2</v>
      </c>
      <c r="M451" s="9">
        <f t="shared" si="2"/>
        <v>166.7205789</v>
      </c>
      <c r="N451" s="9">
        <f t="shared" si="3"/>
        <v>232.4</v>
      </c>
      <c r="O451" s="9">
        <f t="shared" si="4"/>
        <v>193.8</v>
      </c>
      <c r="P451" s="9">
        <f t="shared" si="6"/>
        <v>168</v>
      </c>
      <c r="Q451" s="9">
        <f t="shared" ref="Q451:R451" si="449">average(L445:L451)</f>
        <v>195.3142857</v>
      </c>
      <c r="R451" s="9">
        <f t="shared" si="449"/>
        <v>130.2804218</v>
      </c>
      <c r="S451" s="11">
        <v>55.97</v>
      </c>
      <c r="T451" s="11">
        <v>49.6375</v>
      </c>
      <c r="U451" s="12">
        <v>8.33</v>
      </c>
      <c r="V451" s="12"/>
      <c r="W451" s="12">
        <v>17.0</v>
      </c>
      <c r="X451" s="8">
        <v>29743.0</v>
      </c>
      <c r="Y451" s="8">
        <v>1660.0</v>
      </c>
      <c r="Z451" s="8">
        <v>1173.0</v>
      </c>
      <c r="AA451" s="8">
        <v>12.163</v>
      </c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 ht="15.75" customHeight="1">
      <c r="A452" s="6">
        <v>451.0</v>
      </c>
      <c r="B452" s="7">
        <v>49760.0</v>
      </c>
      <c r="C452" s="8">
        <v>99.2</v>
      </c>
      <c r="D452" s="8">
        <v>92.43</v>
      </c>
      <c r="E452" s="8">
        <v>78.41</v>
      </c>
      <c r="F452" s="8">
        <v>99.2</v>
      </c>
      <c r="G452" s="8">
        <v>92.43</v>
      </c>
      <c r="H452" s="8">
        <v>78.41</v>
      </c>
      <c r="I452" s="8">
        <v>47.0</v>
      </c>
      <c r="J452" s="8">
        <v>32.6</v>
      </c>
      <c r="K452" s="8">
        <v>81.5</v>
      </c>
      <c r="L452" s="9">
        <f t="shared" si="1"/>
        <v>245.4</v>
      </c>
      <c r="M452" s="9">
        <f t="shared" si="2"/>
        <v>156.2765662</v>
      </c>
      <c r="N452" s="9">
        <f t="shared" si="3"/>
        <v>245.2</v>
      </c>
      <c r="O452" s="9">
        <f t="shared" si="4"/>
        <v>232.4</v>
      </c>
      <c r="P452" s="9">
        <f t="shared" si="6"/>
        <v>151.8</v>
      </c>
      <c r="Q452" s="9">
        <f t="shared" ref="Q452:R452" si="450">average(L446:L452)</f>
        <v>206.3714286</v>
      </c>
      <c r="R452" s="9">
        <f t="shared" si="450"/>
        <v>135.6886548</v>
      </c>
      <c r="S452" s="11">
        <v>56.17</v>
      </c>
      <c r="T452" s="11">
        <v>50.015</v>
      </c>
      <c r="U452" s="12">
        <v>9.47</v>
      </c>
      <c r="V452" s="12"/>
      <c r="W452" s="12">
        <v>13.0</v>
      </c>
      <c r="X452" s="8">
        <v>26561.0</v>
      </c>
      <c r="Y452" s="8">
        <v>1790.0</v>
      </c>
      <c r="Z452" s="8">
        <v>1320.0</v>
      </c>
      <c r="AA452" s="8">
        <v>11.17</v>
      </c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 ht="15.75" customHeight="1">
      <c r="A453" s="6">
        <v>452.0</v>
      </c>
      <c r="B453" s="7">
        <v>49761.0</v>
      </c>
      <c r="C453" s="8">
        <v>100.2</v>
      </c>
      <c r="D453" s="8">
        <v>87.93</v>
      </c>
      <c r="E453" s="8">
        <v>79.22</v>
      </c>
      <c r="F453" s="8">
        <v>100.2</v>
      </c>
      <c r="G453" s="8">
        <v>87.93</v>
      </c>
      <c r="H453" s="8">
        <v>79.22</v>
      </c>
      <c r="I453" s="8">
        <v>54.0</v>
      </c>
      <c r="J453" s="8">
        <v>26.0</v>
      </c>
      <c r="K453" s="8">
        <v>78.7</v>
      </c>
      <c r="L453" s="9">
        <f t="shared" si="1"/>
        <v>254.4</v>
      </c>
      <c r="M453" s="9">
        <f t="shared" si="2"/>
        <v>150.6444046</v>
      </c>
      <c r="N453" s="9">
        <f t="shared" si="3"/>
        <v>245.4</v>
      </c>
      <c r="O453" s="9">
        <f t="shared" si="4"/>
        <v>245.2</v>
      </c>
      <c r="P453" s="9">
        <f t="shared" si="6"/>
        <v>179.6</v>
      </c>
      <c r="Q453" s="9">
        <f t="shared" ref="Q453:R453" si="451">average(L447:L453)</f>
        <v>221.0285714</v>
      </c>
      <c r="R453" s="9">
        <f t="shared" si="451"/>
        <v>142.878559</v>
      </c>
      <c r="S453" s="11">
        <v>56.12</v>
      </c>
      <c r="T453" s="11">
        <v>50.2475</v>
      </c>
      <c r="U453" s="12">
        <v>7.66</v>
      </c>
      <c r="V453" s="12"/>
      <c r="W453" s="12">
        <v>14.0</v>
      </c>
      <c r="X453" s="8">
        <v>27471.0</v>
      </c>
      <c r="Y453" s="8">
        <v>1730.0</v>
      </c>
      <c r="Z453" s="8">
        <v>1154.0</v>
      </c>
      <c r="AA453" s="8">
        <v>11.857</v>
      </c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 ht="15.75" customHeight="1">
      <c r="A454" s="6">
        <v>453.0</v>
      </c>
      <c r="B454" s="7">
        <v>49762.0</v>
      </c>
      <c r="C454" s="8">
        <v>85.2</v>
      </c>
      <c r="D454" s="8">
        <v>91.76</v>
      </c>
      <c r="E454" s="8">
        <v>83.01</v>
      </c>
      <c r="F454" s="8">
        <v>85.2</v>
      </c>
      <c r="G454" s="8">
        <v>91.76</v>
      </c>
      <c r="H454" s="8">
        <v>83.01</v>
      </c>
      <c r="I454" s="8">
        <v>25.0</v>
      </c>
      <c r="J454" s="8">
        <v>30.8</v>
      </c>
      <c r="K454" s="8">
        <v>79.3</v>
      </c>
      <c r="L454" s="9">
        <f t="shared" si="1"/>
        <v>195.4</v>
      </c>
      <c r="M454" s="9">
        <f t="shared" si="2"/>
        <v>135.8997391</v>
      </c>
      <c r="N454" s="9">
        <f t="shared" si="3"/>
        <v>254.4</v>
      </c>
      <c r="O454" s="9">
        <f t="shared" si="4"/>
        <v>245.4</v>
      </c>
      <c r="P454" s="9">
        <f t="shared" si="6"/>
        <v>196.4</v>
      </c>
      <c r="Q454" s="9">
        <f t="shared" ref="Q454:R454" si="452">average(L448:L454)</f>
        <v>223.2857143</v>
      </c>
      <c r="R454" s="9">
        <f t="shared" si="452"/>
        <v>146.3588668</v>
      </c>
      <c r="S454" s="11">
        <v>55.71</v>
      </c>
      <c r="T454" s="11">
        <v>49.14</v>
      </c>
      <c r="U454" s="12">
        <v>7.37</v>
      </c>
      <c r="V454" s="12"/>
      <c r="W454" s="12">
        <v>19.0</v>
      </c>
      <c r="X454" s="8">
        <v>28005.0</v>
      </c>
      <c r="Y454" s="8">
        <v>1649.0</v>
      </c>
      <c r="Z454" s="8">
        <v>911.0</v>
      </c>
      <c r="AA454" s="8">
        <v>12.264</v>
      </c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 ht="15.75" customHeight="1">
      <c r="A455" s="6">
        <v>454.0</v>
      </c>
      <c r="B455" s="7">
        <v>49763.0</v>
      </c>
      <c r="C455" s="8">
        <v>63.1</v>
      </c>
      <c r="D455" s="8">
        <v>90.23</v>
      </c>
      <c r="E455" s="8">
        <v>81.24</v>
      </c>
      <c r="F455" s="8">
        <v>63.1</v>
      </c>
      <c r="G455" s="8">
        <v>90.23</v>
      </c>
      <c r="H455" s="8">
        <v>81.24</v>
      </c>
      <c r="I455" s="8">
        <v>50.0</v>
      </c>
      <c r="J455" s="8">
        <v>37.9</v>
      </c>
      <c r="K455" s="8">
        <v>81.8</v>
      </c>
      <c r="L455" s="9">
        <f t="shared" si="1"/>
        <v>176.2</v>
      </c>
      <c r="M455" s="9">
        <f t="shared" si="2"/>
        <v>108.0092992</v>
      </c>
      <c r="N455" s="9">
        <f t="shared" si="3"/>
        <v>195.4</v>
      </c>
      <c r="O455" s="9">
        <f t="shared" si="4"/>
        <v>254.4</v>
      </c>
      <c r="P455" s="9">
        <f t="shared" si="6"/>
        <v>193.8</v>
      </c>
      <c r="Q455" s="9">
        <f t="shared" ref="Q455:R455" si="453">average(L449:L455)</f>
        <v>220.4</v>
      </c>
      <c r="R455" s="9">
        <f t="shared" si="453"/>
        <v>141.8315791</v>
      </c>
      <c r="S455" s="11">
        <v>55.12</v>
      </c>
      <c r="T455" s="11">
        <v>50.305</v>
      </c>
      <c r="U455" s="12">
        <v>7.66</v>
      </c>
      <c r="V455" s="12"/>
      <c r="W455" s="12">
        <v>17.0</v>
      </c>
      <c r="X455" s="8">
        <v>29454.0</v>
      </c>
      <c r="Y455" s="8">
        <v>1645.0</v>
      </c>
      <c r="Z455" s="8">
        <v>881.0</v>
      </c>
      <c r="AA455" s="8">
        <v>12.599</v>
      </c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 ht="15.75" customHeight="1">
      <c r="A456" s="6">
        <v>455.0</v>
      </c>
      <c r="B456" s="7">
        <v>49764.0</v>
      </c>
      <c r="C456" s="8">
        <v>80.8</v>
      </c>
      <c r="D456" s="8">
        <v>90.62</v>
      </c>
      <c r="E456" s="8">
        <v>81.33</v>
      </c>
      <c r="F456" s="8">
        <v>80.8</v>
      </c>
      <c r="G456" s="8">
        <v>90.62</v>
      </c>
      <c r="H456" s="8">
        <v>81.33</v>
      </c>
      <c r="I456" s="8">
        <v>25.0</v>
      </c>
      <c r="J456" s="8">
        <v>43.1</v>
      </c>
      <c r="K456" s="8">
        <v>80.0</v>
      </c>
      <c r="L456" s="9">
        <f t="shared" si="1"/>
        <v>186.6</v>
      </c>
      <c r="M456" s="9">
        <f t="shared" si="2"/>
        <v>127.7212135</v>
      </c>
      <c r="N456" s="9">
        <f t="shared" si="3"/>
        <v>176.2</v>
      </c>
      <c r="O456" s="9">
        <f t="shared" si="4"/>
        <v>195.4</v>
      </c>
      <c r="P456" s="9">
        <f t="shared" si="6"/>
        <v>232.4</v>
      </c>
      <c r="Q456" s="9">
        <f t="shared" ref="Q456:R456" si="454">average(L450:L456)</f>
        <v>219.3714286</v>
      </c>
      <c r="R456" s="9">
        <f t="shared" si="454"/>
        <v>141.9279353</v>
      </c>
      <c r="S456" s="11">
        <v>54.52</v>
      </c>
      <c r="T456" s="11">
        <v>49.8775</v>
      </c>
      <c r="U456" s="12">
        <v>7.58</v>
      </c>
      <c r="V456" s="12"/>
      <c r="W456" s="12">
        <v>20.0</v>
      </c>
      <c r="X456" s="8">
        <v>29167.0</v>
      </c>
      <c r="Y456" s="8">
        <v>1635.0</v>
      </c>
      <c r="Z456" s="8">
        <v>726.0</v>
      </c>
      <c r="AA456" s="8">
        <v>12.15</v>
      </c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 ht="15.75" customHeight="1">
      <c r="A457" s="6">
        <v>456.0</v>
      </c>
      <c r="B457" s="7">
        <v>49765.0</v>
      </c>
      <c r="C457" s="8">
        <v>58.7</v>
      </c>
      <c r="D457" s="8">
        <v>88.91</v>
      </c>
      <c r="E457" s="8">
        <v>81.61</v>
      </c>
      <c r="F457" s="8">
        <v>58.7</v>
      </c>
      <c r="G457" s="8">
        <v>88.91</v>
      </c>
      <c r="H457" s="8">
        <v>81.61</v>
      </c>
      <c r="I457" s="8">
        <v>40.0</v>
      </c>
      <c r="J457" s="8">
        <v>35.5</v>
      </c>
      <c r="K457" s="8">
        <v>81.2</v>
      </c>
      <c r="L457" s="9">
        <f t="shared" si="1"/>
        <v>157.4</v>
      </c>
      <c r="M457" s="9">
        <f t="shared" si="2"/>
        <v>96.71519547</v>
      </c>
      <c r="N457" s="9">
        <f t="shared" si="3"/>
        <v>186.6</v>
      </c>
      <c r="O457" s="9">
        <f t="shared" si="4"/>
        <v>176.2</v>
      </c>
      <c r="P457" s="9">
        <f t="shared" si="6"/>
        <v>245.2</v>
      </c>
      <c r="Q457" s="9">
        <f t="shared" ref="Q457:R457" si="455">average(L451:L457)</f>
        <v>208.6571429</v>
      </c>
      <c r="R457" s="9">
        <f t="shared" si="455"/>
        <v>134.569571</v>
      </c>
      <c r="S457" s="11">
        <v>54.57</v>
      </c>
      <c r="T457" s="11">
        <v>49.2075</v>
      </c>
      <c r="U457" s="12">
        <v>6.3</v>
      </c>
      <c r="V457" s="12"/>
      <c r="W457" s="12">
        <v>16.0</v>
      </c>
      <c r="X457" s="8">
        <v>28059.0</v>
      </c>
      <c r="Y457" s="8">
        <v>1450.0</v>
      </c>
      <c r="Z457" s="8">
        <v>660.0</v>
      </c>
      <c r="AA457" s="8">
        <v>11.974</v>
      </c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 ht="15.75" customHeight="1">
      <c r="A458" s="6">
        <v>457.0</v>
      </c>
      <c r="B458" s="7">
        <v>49766.0</v>
      </c>
      <c r="C458" s="8">
        <v>85.2</v>
      </c>
      <c r="D458" s="8">
        <v>89.58</v>
      </c>
      <c r="E458" s="8">
        <v>79.53</v>
      </c>
      <c r="F458" s="8">
        <v>85.2</v>
      </c>
      <c r="G458" s="8">
        <v>89.58</v>
      </c>
      <c r="H458" s="8">
        <v>79.53</v>
      </c>
      <c r="I458" s="8">
        <v>49.0</v>
      </c>
      <c r="J458" s="8">
        <v>26.2</v>
      </c>
      <c r="K458" s="8">
        <v>79.7</v>
      </c>
      <c r="L458" s="9">
        <f t="shared" si="1"/>
        <v>219.4</v>
      </c>
      <c r="M458" s="9">
        <f t="shared" si="2"/>
        <v>131.6299137</v>
      </c>
      <c r="N458" s="9">
        <f t="shared" si="3"/>
        <v>157.4</v>
      </c>
      <c r="O458" s="9">
        <f t="shared" si="4"/>
        <v>186.6</v>
      </c>
      <c r="P458" s="9">
        <f t="shared" si="6"/>
        <v>245.4</v>
      </c>
      <c r="Q458" s="9">
        <f t="shared" ref="Q458:R458" si="456">average(L452:L458)</f>
        <v>204.9714286</v>
      </c>
      <c r="R458" s="9">
        <f t="shared" si="456"/>
        <v>129.5566188</v>
      </c>
      <c r="S458" s="11">
        <v>53.97</v>
      </c>
      <c r="T458" s="11">
        <v>48.4</v>
      </c>
      <c r="U458" s="12">
        <v>5.7</v>
      </c>
      <c r="V458" s="12"/>
      <c r="W458" s="12">
        <v>25.0</v>
      </c>
      <c r="X458" s="8">
        <v>25471.0</v>
      </c>
      <c r="Y458" s="8">
        <v>1560.0</v>
      </c>
      <c r="Z458" s="8">
        <v>624.0</v>
      </c>
      <c r="AA458" s="8">
        <v>10.162</v>
      </c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 ht="15.75" customHeight="1">
      <c r="A459" s="6">
        <v>458.0</v>
      </c>
      <c r="B459" s="7">
        <v>49767.0</v>
      </c>
      <c r="C459" s="8">
        <v>82.9</v>
      </c>
      <c r="D459" s="8">
        <v>86.2</v>
      </c>
      <c r="E459" s="8">
        <v>80.44</v>
      </c>
      <c r="F459" s="8">
        <v>82.9</v>
      </c>
      <c r="G459" s="8">
        <v>86.2</v>
      </c>
      <c r="H459" s="8">
        <v>80.44</v>
      </c>
      <c r="I459" s="8">
        <v>25.0</v>
      </c>
      <c r="J459" s="8">
        <v>20.7</v>
      </c>
      <c r="K459" s="8">
        <v>80.0</v>
      </c>
      <c r="L459" s="9">
        <f t="shared" si="1"/>
        <v>190.8</v>
      </c>
      <c r="M459" s="9">
        <f t="shared" si="2"/>
        <v>119.1045262</v>
      </c>
      <c r="N459" s="9">
        <f t="shared" si="3"/>
        <v>219.4</v>
      </c>
      <c r="O459" s="9">
        <f t="shared" si="4"/>
        <v>157.4</v>
      </c>
      <c r="P459" s="9">
        <f t="shared" si="6"/>
        <v>254.4</v>
      </c>
      <c r="Q459" s="9">
        <f t="shared" ref="Q459:R459" si="457">average(L453:L459)</f>
        <v>197.1714286</v>
      </c>
      <c r="R459" s="9">
        <f t="shared" si="457"/>
        <v>124.2463274</v>
      </c>
      <c r="S459" s="11">
        <v>54.32</v>
      </c>
      <c r="T459" s="11">
        <v>47.985</v>
      </c>
      <c r="U459" s="12">
        <v>4.54</v>
      </c>
      <c r="V459" s="12"/>
      <c r="W459" s="12">
        <v>27.0</v>
      </c>
      <c r="X459" s="8">
        <v>24928.0</v>
      </c>
      <c r="Y459" s="8">
        <v>1615.0</v>
      </c>
      <c r="Z459" s="8">
        <v>543.0</v>
      </c>
      <c r="AA459" s="8">
        <v>10.007</v>
      </c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 ht="15.75" customHeight="1">
      <c r="A460" s="6">
        <v>459.0</v>
      </c>
      <c r="B460" s="7">
        <v>49768.0</v>
      </c>
      <c r="C460" s="8">
        <v>69.0</v>
      </c>
      <c r="D460" s="8">
        <v>86.89</v>
      </c>
      <c r="E460" s="8">
        <v>81.29</v>
      </c>
      <c r="F460" s="8">
        <v>69.0</v>
      </c>
      <c r="G460" s="8">
        <v>86.89</v>
      </c>
      <c r="H460" s="8">
        <v>81.29</v>
      </c>
      <c r="I460" s="8">
        <v>17.0</v>
      </c>
      <c r="J460" s="8">
        <v>34.1</v>
      </c>
      <c r="K460" s="8">
        <v>87.2</v>
      </c>
      <c r="L460" s="9">
        <f t="shared" si="1"/>
        <v>155</v>
      </c>
      <c r="M460" s="9">
        <f t="shared" si="2"/>
        <v>102.5283598</v>
      </c>
      <c r="N460" s="9">
        <f t="shared" si="3"/>
        <v>190.8</v>
      </c>
      <c r="O460" s="9">
        <f t="shared" si="4"/>
        <v>219.4</v>
      </c>
      <c r="P460" s="9">
        <f t="shared" si="6"/>
        <v>195.4</v>
      </c>
      <c r="Q460" s="9">
        <f t="shared" ref="Q460:R460" si="458">average(L454:L460)</f>
        <v>182.9714286</v>
      </c>
      <c r="R460" s="9">
        <f t="shared" si="458"/>
        <v>117.3726067</v>
      </c>
      <c r="S460" s="11">
        <v>55.41</v>
      </c>
      <c r="T460" s="11">
        <v>47.91</v>
      </c>
      <c r="U460" s="12">
        <v>5.32</v>
      </c>
      <c r="V460" s="12"/>
      <c r="W460" s="12">
        <v>28.0</v>
      </c>
      <c r="X460" s="8">
        <v>24172.0</v>
      </c>
      <c r="Y460" s="8">
        <v>1670.0</v>
      </c>
      <c r="Z460" s="8">
        <v>1128.0</v>
      </c>
      <c r="AA460" s="8">
        <v>9.252</v>
      </c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 ht="15.75" customHeight="1">
      <c r="A461" s="6">
        <v>460.0</v>
      </c>
      <c r="B461" s="7">
        <v>49769.0</v>
      </c>
      <c r="C461" s="8">
        <v>100.3</v>
      </c>
      <c r="D461" s="8">
        <v>87.99</v>
      </c>
      <c r="E461" s="8">
        <v>77.0</v>
      </c>
      <c r="F461" s="8">
        <v>100.3</v>
      </c>
      <c r="G461" s="8">
        <v>87.99</v>
      </c>
      <c r="H461" s="8">
        <v>77.0</v>
      </c>
      <c r="I461" s="8">
        <v>50.0</v>
      </c>
      <c r="J461" s="8">
        <v>27.1</v>
      </c>
      <c r="K461" s="8">
        <v>80.2</v>
      </c>
      <c r="L461" s="9">
        <f t="shared" si="1"/>
        <v>250.6</v>
      </c>
      <c r="M461" s="9">
        <f t="shared" si="2"/>
        <v>146.7782138</v>
      </c>
      <c r="N461" s="9">
        <f t="shared" si="3"/>
        <v>155</v>
      </c>
      <c r="O461" s="9">
        <f t="shared" si="4"/>
        <v>190.8</v>
      </c>
      <c r="P461" s="9">
        <f t="shared" si="6"/>
        <v>176.2</v>
      </c>
      <c r="Q461" s="9">
        <f t="shared" ref="Q461:R461" si="459">average(L455:L461)</f>
        <v>190.8571429</v>
      </c>
      <c r="R461" s="9">
        <f t="shared" si="459"/>
        <v>118.9266745</v>
      </c>
      <c r="S461" s="11">
        <v>55.78</v>
      </c>
      <c r="T461" s="11">
        <v>47.957499999999996</v>
      </c>
      <c r="U461" s="12">
        <v>5.02</v>
      </c>
      <c r="V461" s="12"/>
      <c r="W461" s="12">
        <v>24.0</v>
      </c>
      <c r="X461" s="8">
        <v>25639.0</v>
      </c>
      <c r="Y461" s="8">
        <v>1974.0</v>
      </c>
      <c r="Z461" s="8">
        <v>1153.0</v>
      </c>
      <c r="AA461" s="8">
        <v>9.838</v>
      </c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 ht="15.75" customHeight="1">
      <c r="A462" s="6">
        <v>461.0</v>
      </c>
      <c r="B462" s="7">
        <v>49770.0</v>
      </c>
      <c r="C462" s="8">
        <v>100.7</v>
      </c>
      <c r="D462" s="8">
        <v>90.28</v>
      </c>
      <c r="E462" s="8">
        <v>80.62</v>
      </c>
      <c r="F462" s="8">
        <v>100.7</v>
      </c>
      <c r="G462" s="8">
        <v>90.28</v>
      </c>
      <c r="H462" s="8">
        <v>80.62</v>
      </c>
      <c r="I462" s="8">
        <v>50.0</v>
      </c>
      <c r="J462" s="8">
        <v>21.5</v>
      </c>
      <c r="K462" s="8">
        <v>82.6</v>
      </c>
      <c r="L462" s="9">
        <f t="shared" si="1"/>
        <v>251.4</v>
      </c>
      <c r="M462" s="9">
        <f t="shared" si="2"/>
        <v>155.4659443</v>
      </c>
      <c r="N462" s="9">
        <f t="shared" si="3"/>
        <v>250.6</v>
      </c>
      <c r="O462" s="9">
        <f t="shared" si="4"/>
        <v>155</v>
      </c>
      <c r="P462" s="9">
        <f t="shared" si="6"/>
        <v>186.6</v>
      </c>
      <c r="Q462" s="9">
        <f t="shared" ref="Q462:R462" si="460">average(L456:L462)</f>
        <v>201.6</v>
      </c>
      <c r="R462" s="9">
        <f t="shared" si="460"/>
        <v>125.7061953</v>
      </c>
      <c r="S462" s="11">
        <v>55.37</v>
      </c>
      <c r="T462" s="11">
        <v>47.65</v>
      </c>
      <c r="U462" s="12">
        <v>6.82</v>
      </c>
      <c r="V462" s="12"/>
      <c r="W462" s="12">
        <v>17.0</v>
      </c>
      <c r="X462" s="8">
        <v>26618.0</v>
      </c>
      <c r="Y462" s="8">
        <v>2210.0</v>
      </c>
      <c r="Z462" s="8">
        <v>1006.0</v>
      </c>
      <c r="AA462" s="8">
        <v>10.24</v>
      </c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 ht="15.75" customHeight="1">
      <c r="A463" s="6">
        <v>462.0</v>
      </c>
      <c r="B463" s="7">
        <v>49771.0</v>
      </c>
      <c r="C463" s="8">
        <v>100.7</v>
      </c>
      <c r="D463" s="8">
        <v>89.3</v>
      </c>
      <c r="E463" s="8">
        <v>79.6</v>
      </c>
      <c r="F463" s="8">
        <v>100.7</v>
      </c>
      <c r="G463" s="8">
        <v>89.3</v>
      </c>
      <c r="H463" s="8">
        <v>79.6</v>
      </c>
      <c r="I463" s="8">
        <v>45.0</v>
      </c>
      <c r="J463" s="8">
        <v>26.4</v>
      </c>
      <c r="K463" s="8">
        <v>81.8</v>
      </c>
      <c r="L463" s="9">
        <f t="shared" si="1"/>
        <v>246.4</v>
      </c>
      <c r="M463" s="9">
        <f t="shared" si="2"/>
        <v>152.8785992</v>
      </c>
      <c r="N463" s="9">
        <f t="shared" si="3"/>
        <v>251.4</v>
      </c>
      <c r="O463" s="9">
        <f t="shared" si="4"/>
        <v>250.6</v>
      </c>
      <c r="P463" s="9">
        <f t="shared" si="6"/>
        <v>157.4</v>
      </c>
      <c r="Q463" s="9">
        <f t="shared" ref="Q463:R463" si="461">average(L457:L463)</f>
        <v>210.1428571</v>
      </c>
      <c r="R463" s="9">
        <f t="shared" si="461"/>
        <v>129.3001075</v>
      </c>
      <c r="S463" s="11">
        <v>55.18</v>
      </c>
      <c r="T463" s="11">
        <v>47.7325</v>
      </c>
      <c r="U463" s="12">
        <v>6.09</v>
      </c>
      <c r="V463" s="12"/>
      <c r="W463" s="12">
        <v>25.0</v>
      </c>
      <c r="X463" s="8">
        <v>29014.0</v>
      </c>
      <c r="Y463" s="8">
        <v>2130.0</v>
      </c>
      <c r="Z463" s="8">
        <v>965.0</v>
      </c>
      <c r="AA463" s="8">
        <v>11.079</v>
      </c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 ht="15.75" customHeight="1">
      <c r="A464" s="6">
        <v>463.0</v>
      </c>
      <c r="B464" s="7">
        <v>49772.0</v>
      </c>
      <c r="C464" s="8">
        <v>109.3</v>
      </c>
      <c r="D464" s="8">
        <v>91.08</v>
      </c>
      <c r="E464" s="8">
        <v>81.88</v>
      </c>
      <c r="F464" s="8">
        <v>109.3</v>
      </c>
      <c r="G464" s="8">
        <v>91.08</v>
      </c>
      <c r="H464" s="8">
        <v>81.88</v>
      </c>
      <c r="I464" s="8">
        <v>36.0</v>
      </c>
      <c r="J464" s="8">
        <v>29.6</v>
      </c>
      <c r="K464" s="8">
        <v>85.4</v>
      </c>
      <c r="L464" s="9">
        <f t="shared" si="1"/>
        <v>254.6</v>
      </c>
      <c r="M464" s="9">
        <f t="shared" si="2"/>
        <v>172.1240245</v>
      </c>
      <c r="N464" s="9">
        <f t="shared" si="3"/>
        <v>246.4</v>
      </c>
      <c r="O464" s="9">
        <f t="shared" si="4"/>
        <v>251.4</v>
      </c>
      <c r="P464" s="9">
        <f t="shared" si="6"/>
        <v>219.4</v>
      </c>
      <c r="Q464" s="9">
        <f t="shared" ref="Q464:R464" si="462">average(L458:L464)</f>
        <v>224.0285714</v>
      </c>
      <c r="R464" s="9">
        <f t="shared" si="462"/>
        <v>140.0727974</v>
      </c>
      <c r="S464" s="11">
        <v>55.27</v>
      </c>
      <c r="T464" s="11">
        <v>47.775</v>
      </c>
      <c r="U464" s="12">
        <v>6.84</v>
      </c>
      <c r="V464" s="12"/>
      <c r="W464" s="12">
        <v>21.0</v>
      </c>
      <c r="X464" s="8">
        <v>30830.0</v>
      </c>
      <c r="Y464" s="8">
        <v>2190.0</v>
      </c>
      <c r="Z464" s="8">
        <v>984.0</v>
      </c>
      <c r="AA464" s="8">
        <v>11.407</v>
      </c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 ht="15.75" customHeight="1">
      <c r="A465" s="6">
        <v>464.0</v>
      </c>
      <c r="B465" s="7">
        <v>49773.0</v>
      </c>
      <c r="C465" s="8">
        <v>90.1</v>
      </c>
      <c r="D465" s="8">
        <v>87.59</v>
      </c>
      <c r="E465" s="8">
        <v>74.32</v>
      </c>
      <c r="F465" s="8">
        <v>90.1</v>
      </c>
      <c r="G465" s="8">
        <v>87.59</v>
      </c>
      <c r="H465" s="8">
        <v>74.32</v>
      </c>
      <c r="I465" s="8">
        <v>32.0</v>
      </c>
      <c r="J465" s="8">
        <v>22.4</v>
      </c>
      <c r="K465" s="8">
        <v>79.1</v>
      </c>
      <c r="L465" s="9">
        <f t="shared" si="1"/>
        <v>212.2</v>
      </c>
      <c r="M465" s="9">
        <f t="shared" si="2"/>
        <v>122.9744802</v>
      </c>
      <c r="N465" s="9">
        <f t="shared" si="3"/>
        <v>254.6</v>
      </c>
      <c r="O465" s="9">
        <f t="shared" si="4"/>
        <v>246.4</v>
      </c>
      <c r="P465" s="9">
        <f t="shared" si="6"/>
        <v>190.8</v>
      </c>
      <c r="Q465" s="9">
        <f t="shared" ref="Q465:R465" si="463">average(L459:L465)</f>
        <v>223</v>
      </c>
      <c r="R465" s="9">
        <f t="shared" si="463"/>
        <v>138.8363069</v>
      </c>
      <c r="S465" s="11">
        <v>53.61</v>
      </c>
      <c r="T465" s="11">
        <v>47.6575</v>
      </c>
      <c r="U465" s="12">
        <v>6.06</v>
      </c>
      <c r="V465" s="12"/>
      <c r="W465" s="12">
        <v>25.0</v>
      </c>
      <c r="X465" s="8">
        <v>26635.0</v>
      </c>
      <c r="Y465" s="8">
        <v>1675.0</v>
      </c>
      <c r="Z465" s="8">
        <v>744.0</v>
      </c>
      <c r="AA465" s="8">
        <v>10.37</v>
      </c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 ht="15.75" customHeight="1">
      <c r="A466" s="6">
        <v>465.0</v>
      </c>
      <c r="B466" s="7">
        <v>49774.0</v>
      </c>
      <c r="C466" s="8">
        <v>100.6</v>
      </c>
      <c r="D466" s="8">
        <v>86.13</v>
      </c>
      <c r="E466" s="8">
        <v>77.99</v>
      </c>
      <c r="F466" s="8">
        <v>100.6</v>
      </c>
      <c r="G466" s="8">
        <v>86.13</v>
      </c>
      <c r="H466" s="8">
        <v>77.99</v>
      </c>
      <c r="I466" s="8">
        <v>35.0</v>
      </c>
      <c r="J466" s="8">
        <v>30.9</v>
      </c>
      <c r="K466" s="8">
        <v>78.9</v>
      </c>
      <c r="L466" s="9">
        <f t="shared" si="1"/>
        <v>236.2</v>
      </c>
      <c r="M466" s="9">
        <f t="shared" si="2"/>
        <v>143.6846824</v>
      </c>
      <c r="N466" s="9">
        <f t="shared" si="3"/>
        <v>212.2</v>
      </c>
      <c r="O466" s="9">
        <f t="shared" si="4"/>
        <v>254.6</v>
      </c>
      <c r="P466" s="9">
        <f t="shared" si="6"/>
        <v>155</v>
      </c>
      <c r="Q466" s="9">
        <f t="shared" ref="Q466:R466" si="464">average(L460:L466)</f>
        <v>229.4857143</v>
      </c>
      <c r="R466" s="9">
        <f t="shared" si="464"/>
        <v>142.3477577</v>
      </c>
      <c r="S466" s="11">
        <v>55.47</v>
      </c>
      <c r="T466" s="11">
        <v>47.35</v>
      </c>
      <c r="U466" s="12">
        <v>5.78</v>
      </c>
      <c r="V466" s="12"/>
      <c r="W466" s="12">
        <v>26.0</v>
      </c>
      <c r="X466" s="8">
        <v>32519.0</v>
      </c>
      <c r="Y466" s="8">
        <v>1731.0</v>
      </c>
      <c r="Z466" s="8">
        <v>844.0</v>
      </c>
      <c r="AA466" s="8">
        <v>13.267</v>
      </c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 ht="15.75" customHeight="1">
      <c r="A467" s="6">
        <v>466.0</v>
      </c>
      <c r="B467" s="7">
        <v>49775.0</v>
      </c>
      <c r="C467" s="8">
        <v>102.0</v>
      </c>
      <c r="D467" s="8">
        <v>89.71</v>
      </c>
      <c r="E467" s="8">
        <v>82.16</v>
      </c>
      <c r="F467" s="8">
        <v>102.0</v>
      </c>
      <c r="G467" s="8">
        <v>89.71</v>
      </c>
      <c r="H467" s="8">
        <v>82.16</v>
      </c>
      <c r="I467" s="8">
        <v>40.0</v>
      </c>
      <c r="J467" s="8">
        <v>23.2</v>
      </c>
      <c r="K467" s="8">
        <v>85.0</v>
      </c>
      <c r="L467" s="9">
        <f t="shared" si="1"/>
        <v>244</v>
      </c>
      <c r="M467" s="9">
        <f t="shared" si="2"/>
        <v>158.2477014</v>
      </c>
      <c r="N467" s="9">
        <f t="shared" si="3"/>
        <v>236.2</v>
      </c>
      <c r="O467" s="9">
        <f t="shared" si="4"/>
        <v>212.2</v>
      </c>
      <c r="P467" s="9">
        <f t="shared" si="6"/>
        <v>250.6</v>
      </c>
      <c r="Q467" s="9">
        <f t="shared" ref="Q467:R467" si="465">average(L461:L467)</f>
        <v>242.2</v>
      </c>
      <c r="R467" s="9">
        <f t="shared" si="465"/>
        <v>150.3076637</v>
      </c>
      <c r="S467" s="11">
        <v>53.78</v>
      </c>
      <c r="T467" s="11">
        <v>47.39</v>
      </c>
      <c r="U467" s="12">
        <v>6.36</v>
      </c>
      <c r="V467" s="12"/>
      <c r="W467" s="12">
        <v>15.0</v>
      </c>
      <c r="X467" s="8">
        <v>28646.0</v>
      </c>
      <c r="Y467" s="8">
        <v>2185.0</v>
      </c>
      <c r="Z467" s="8">
        <v>1207.0</v>
      </c>
      <c r="AA467" s="8">
        <v>11.202</v>
      </c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 ht="15.75" customHeight="1">
      <c r="A468" s="6">
        <v>467.0</v>
      </c>
      <c r="B468" s="7">
        <v>49776.0</v>
      </c>
      <c r="C468" s="8">
        <v>93.8</v>
      </c>
      <c r="D468" s="8">
        <v>87.14</v>
      </c>
      <c r="E468" s="8">
        <v>84.52</v>
      </c>
      <c r="F468" s="8">
        <v>93.8</v>
      </c>
      <c r="G468" s="8">
        <v>87.14</v>
      </c>
      <c r="H468" s="8">
        <v>84.52</v>
      </c>
      <c r="I468" s="8">
        <v>25.0</v>
      </c>
      <c r="J468" s="8">
        <v>19.8</v>
      </c>
      <c r="K468" s="8">
        <v>82.2</v>
      </c>
      <c r="L468" s="9">
        <f t="shared" si="1"/>
        <v>212.6</v>
      </c>
      <c r="M468" s="9">
        <f t="shared" si="2"/>
        <v>142.2376657</v>
      </c>
      <c r="N468" s="9">
        <f t="shared" si="3"/>
        <v>244</v>
      </c>
      <c r="O468" s="9">
        <f t="shared" si="4"/>
        <v>236.2</v>
      </c>
      <c r="P468" s="9">
        <f t="shared" si="6"/>
        <v>251.4</v>
      </c>
      <c r="Q468" s="9">
        <f t="shared" ref="Q468:R468" si="466">average(L462:L468)</f>
        <v>236.7714286</v>
      </c>
      <c r="R468" s="9">
        <f t="shared" si="466"/>
        <v>149.659014</v>
      </c>
      <c r="S468" s="11">
        <v>53.35</v>
      </c>
      <c r="T468" s="11">
        <v>47.415000000000006</v>
      </c>
      <c r="U468" s="12">
        <v>4.82</v>
      </c>
      <c r="V468" s="12"/>
      <c r="W468" s="12">
        <v>18.0</v>
      </c>
      <c r="X468" s="8">
        <v>28124.0</v>
      </c>
      <c r="Y468" s="8">
        <v>2076.0</v>
      </c>
      <c r="Z468" s="8">
        <v>1158.0</v>
      </c>
      <c r="AA468" s="8">
        <v>10.947</v>
      </c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 ht="15.75" customHeight="1">
      <c r="A469" s="6">
        <v>468.0</v>
      </c>
      <c r="B469" s="7">
        <v>49777.0</v>
      </c>
      <c r="C469" s="8">
        <v>78.3</v>
      </c>
      <c r="D469" s="8">
        <v>85.93</v>
      </c>
      <c r="E469" s="8">
        <v>79.73</v>
      </c>
      <c r="F469" s="8">
        <v>78.3</v>
      </c>
      <c r="G469" s="8">
        <v>85.93</v>
      </c>
      <c r="H469" s="8">
        <v>79.73</v>
      </c>
      <c r="I469" s="8">
        <v>27.0</v>
      </c>
      <c r="J469" s="8">
        <v>19.4</v>
      </c>
      <c r="K469" s="8">
        <v>83.9</v>
      </c>
      <c r="L469" s="9">
        <f t="shared" si="1"/>
        <v>183.6</v>
      </c>
      <c r="M469" s="9">
        <f t="shared" si="2"/>
        <v>111.6844568</v>
      </c>
      <c r="N469" s="9">
        <f t="shared" si="3"/>
        <v>212.6</v>
      </c>
      <c r="O469" s="9">
        <f t="shared" si="4"/>
        <v>244</v>
      </c>
      <c r="P469" s="9">
        <f t="shared" si="6"/>
        <v>246.4</v>
      </c>
      <c r="Q469" s="9">
        <f t="shared" ref="Q469:R469" si="467">average(L463:L469)</f>
        <v>227.0857143</v>
      </c>
      <c r="R469" s="9">
        <f t="shared" si="467"/>
        <v>143.4045158</v>
      </c>
      <c r="S469" s="11">
        <v>50.4</v>
      </c>
      <c r="T469" s="11">
        <v>47.300000000000004</v>
      </c>
      <c r="U469" s="12">
        <v>5.36</v>
      </c>
      <c r="V469" s="12"/>
      <c r="W469" s="12">
        <v>18.0</v>
      </c>
      <c r="X469" s="8">
        <v>27240.0</v>
      </c>
      <c r="Y469" s="8">
        <v>2138.0</v>
      </c>
      <c r="Z469" s="8">
        <v>1114.0</v>
      </c>
      <c r="AA469" s="8">
        <v>10.55</v>
      </c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 ht="15.75" customHeight="1">
      <c r="A470" s="6">
        <v>469.0</v>
      </c>
      <c r="B470" s="7">
        <v>49778.0</v>
      </c>
      <c r="C470" s="8">
        <v>83.6</v>
      </c>
      <c r="D470" s="8">
        <v>87.48</v>
      </c>
      <c r="E470" s="8">
        <v>83.46</v>
      </c>
      <c r="F470" s="8">
        <v>83.6</v>
      </c>
      <c r="G470" s="8">
        <v>87.48</v>
      </c>
      <c r="H470" s="8">
        <v>83.46</v>
      </c>
      <c r="I470" s="8">
        <v>45.0</v>
      </c>
      <c r="J470" s="8">
        <v>29.3</v>
      </c>
      <c r="K470" s="8">
        <v>89.7</v>
      </c>
      <c r="L470" s="9">
        <f t="shared" si="1"/>
        <v>212.2</v>
      </c>
      <c r="M470" s="9">
        <f t="shared" si="2"/>
        <v>133.901016</v>
      </c>
      <c r="N470" s="9">
        <f t="shared" si="3"/>
        <v>183.6</v>
      </c>
      <c r="O470" s="9">
        <f t="shared" si="4"/>
        <v>212.6</v>
      </c>
      <c r="P470" s="9">
        <f t="shared" si="6"/>
        <v>254.6</v>
      </c>
      <c r="Q470" s="9">
        <f t="shared" ref="Q470:R470" si="468">average(L464:L470)</f>
        <v>222.2</v>
      </c>
      <c r="R470" s="9">
        <f t="shared" si="468"/>
        <v>140.6934324</v>
      </c>
      <c r="S470" s="11">
        <v>53.83</v>
      </c>
      <c r="T470" s="11">
        <v>46.935</v>
      </c>
      <c r="U470" s="12">
        <v>6.59</v>
      </c>
      <c r="V470" s="12"/>
      <c r="W470" s="12">
        <v>16.0</v>
      </c>
      <c r="X470" s="8">
        <v>25717.0</v>
      </c>
      <c r="Y470" s="8">
        <v>2207.0</v>
      </c>
      <c r="Z470" s="8">
        <v>1255.0</v>
      </c>
      <c r="AA470" s="8">
        <v>10.353</v>
      </c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 ht="15.75" customHeight="1">
      <c r="A471" s="6">
        <v>470.0</v>
      </c>
      <c r="B471" s="7">
        <v>49779.0</v>
      </c>
      <c r="C471" s="8">
        <v>77.8</v>
      </c>
      <c r="D471" s="8">
        <v>88.77</v>
      </c>
      <c r="E471" s="8">
        <v>76.83</v>
      </c>
      <c r="F471" s="8">
        <v>77.8</v>
      </c>
      <c r="G471" s="8">
        <v>88.77</v>
      </c>
      <c r="H471" s="8">
        <v>76.83</v>
      </c>
      <c r="I471" s="8">
        <v>45.0</v>
      </c>
      <c r="J471" s="8">
        <v>18.9</v>
      </c>
      <c r="K471" s="8">
        <v>84.0</v>
      </c>
      <c r="L471" s="9">
        <f t="shared" si="1"/>
        <v>200.6</v>
      </c>
      <c r="M471" s="9">
        <f t="shared" si="2"/>
        <v>113.266498</v>
      </c>
      <c r="N471" s="9">
        <f t="shared" si="3"/>
        <v>212.2</v>
      </c>
      <c r="O471" s="9">
        <f t="shared" si="4"/>
        <v>183.6</v>
      </c>
      <c r="P471" s="9">
        <f t="shared" si="6"/>
        <v>212.2</v>
      </c>
      <c r="Q471" s="9">
        <f t="shared" ref="Q471:R471" si="469">average(L465:L471)</f>
        <v>214.4857143</v>
      </c>
      <c r="R471" s="9">
        <f t="shared" si="469"/>
        <v>132.2852144</v>
      </c>
      <c r="S471" s="11">
        <v>53.46</v>
      </c>
      <c r="T471" s="11">
        <v>46.24</v>
      </c>
      <c r="U471" s="12">
        <v>5.8</v>
      </c>
      <c r="V471" s="12"/>
      <c r="W471" s="12">
        <v>16.0</v>
      </c>
      <c r="X471" s="8">
        <v>25585.0</v>
      </c>
      <c r="Y471" s="8">
        <v>2396.0</v>
      </c>
      <c r="Z471" s="8">
        <v>1186.0</v>
      </c>
      <c r="AA471" s="8">
        <v>10.329</v>
      </c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 ht="15.75" customHeight="1">
      <c r="A472" s="6">
        <v>471.0</v>
      </c>
      <c r="B472" s="7">
        <v>49780.0</v>
      </c>
      <c r="C472" s="8">
        <v>95.2</v>
      </c>
      <c r="D472" s="8">
        <v>88.36</v>
      </c>
      <c r="E472" s="8">
        <v>79.63</v>
      </c>
      <c r="F472" s="8">
        <v>95.2</v>
      </c>
      <c r="G472" s="8">
        <v>88.36</v>
      </c>
      <c r="H472" s="8">
        <v>79.63</v>
      </c>
      <c r="I472" s="8">
        <v>42.0</v>
      </c>
      <c r="J472" s="8">
        <v>21.6</v>
      </c>
      <c r="K472" s="8">
        <v>81.2</v>
      </c>
      <c r="L472" s="9">
        <f t="shared" si="1"/>
        <v>232.4</v>
      </c>
      <c r="M472" s="9">
        <f t="shared" si="2"/>
        <v>141.3339375</v>
      </c>
      <c r="N472" s="9">
        <f t="shared" si="3"/>
        <v>200.6</v>
      </c>
      <c r="O472" s="9">
        <f t="shared" si="4"/>
        <v>212.2</v>
      </c>
      <c r="P472" s="9">
        <f t="shared" si="6"/>
        <v>236.2</v>
      </c>
      <c r="Q472" s="9">
        <f t="shared" ref="Q472:R472" si="470">average(L466:L472)</f>
        <v>217.3714286</v>
      </c>
      <c r="R472" s="9">
        <f t="shared" si="470"/>
        <v>134.907994</v>
      </c>
      <c r="S472" s="11">
        <v>53.46</v>
      </c>
      <c r="T472" s="11">
        <v>46.2275</v>
      </c>
      <c r="U472" s="12">
        <v>5.44</v>
      </c>
      <c r="V472" s="12"/>
      <c r="W472" s="12">
        <v>21.0</v>
      </c>
      <c r="X472" s="8">
        <v>25969.0</v>
      </c>
      <c r="Y472" s="8">
        <v>2125.0</v>
      </c>
      <c r="Z472" s="8">
        <v>1145.0</v>
      </c>
      <c r="AA472" s="8">
        <v>10.329</v>
      </c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 ht="15.75" customHeight="1">
      <c r="A473" s="6">
        <v>472.0</v>
      </c>
      <c r="B473" s="7">
        <v>49781.0</v>
      </c>
      <c r="C473" s="8">
        <v>95.6</v>
      </c>
      <c r="D473" s="8">
        <v>88.29</v>
      </c>
      <c r="E473" s="8">
        <v>82.04</v>
      </c>
      <c r="F473" s="8">
        <v>95.6</v>
      </c>
      <c r="G473" s="8">
        <v>88.29</v>
      </c>
      <c r="H473" s="8">
        <v>82.04</v>
      </c>
      <c r="I473" s="8">
        <v>51.0</v>
      </c>
      <c r="J473" s="8">
        <v>30.5</v>
      </c>
      <c r="K473" s="8">
        <v>79.1</v>
      </c>
      <c r="L473" s="9">
        <f t="shared" si="1"/>
        <v>242.2</v>
      </c>
      <c r="M473" s="9">
        <f t="shared" si="2"/>
        <v>150.7961228</v>
      </c>
      <c r="N473" s="9">
        <f t="shared" si="3"/>
        <v>232.4</v>
      </c>
      <c r="O473" s="9">
        <f t="shared" si="4"/>
        <v>200.6</v>
      </c>
      <c r="P473" s="9">
        <f t="shared" si="6"/>
        <v>244</v>
      </c>
      <c r="Q473" s="9">
        <f t="shared" ref="Q473:R473" si="471">average(L467:L473)</f>
        <v>218.2285714</v>
      </c>
      <c r="R473" s="9">
        <f t="shared" si="471"/>
        <v>135.923914</v>
      </c>
      <c r="S473" s="11">
        <v>53.46</v>
      </c>
      <c r="T473" s="11">
        <v>46.52250000000001</v>
      </c>
      <c r="U473" s="12">
        <v>7.49</v>
      </c>
      <c r="V473" s="12"/>
      <c r="W473" s="12">
        <v>14.0</v>
      </c>
      <c r="X473" s="8">
        <v>25787.0</v>
      </c>
      <c r="Y473" s="8">
        <v>2488.0</v>
      </c>
      <c r="Z473" s="8">
        <v>1109.0</v>
      </c>
      <c r="AA473" s="8">
        <v>10.106</v>
      </c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 ht="15.75" customHeight="1">
      <c r="A474" s="6">
        <v>473.0</v>
      </c>
      <c r="B474" s="7">
        <v>49782.0</v>
      </c>
      <c r="C474" s="8">
        <v>59.0</v>
      </c>
      <c r="D474" s="8">
        <v>88.62</v>
      </c>
      <c r="E474" s="8">
        <v>81.25</v>
      </c>
      <c r="F474" s="8">
        <v>59.0</v>
      </c>
      <c r="G474" s="8">
        <v>88.62</v>
      </c>
      <c r="H474" s="8">
        <v>81.25</v>
      </c>
      <c r="I474" s="8">
        <v>8.0</v>
      </c>
      <c r="J474" s="8">
        <v>32.0</v>
      </c>
      <c r="K474" s="8">
        <v>32.0</v>
      </c>
      <c r="L474" s="9">
        <f t="shared" si="1"/>
        <v>126</v>
      </c>
      <c r="M474" s="9">
        <f t="shared" si="2"/>
        <v>85.783625</v>
      </c>
      <c r="N474" s="9">
        <f t="shared" si="3"/>
        <v>242.2</v>
      </c>
      <c r="O474" s="9">
        <f t="shared" si="4"/>
        <v>232.4</v>
      </c>
      <c r="P474" s="9">
        <f t="shared" si="6"/>
        <v>212.6</v>
      </c>
      <c r="Q474" s="9">
        <f t="shared" ref="Q474:R474" si="472">average(L468:L474)</f>
        <v>201.3714286</v>
      </c>
      <c r="R474" s="9">
        <f t="shared" si="472"/>
        <v>125.5719031</v>
      </c>
      <c r="S474" s="11">
        <v>52.7</v>
      </c>
      <c r="T474" s="11">
        <v>46.75</v>
      </c>
      <c r="U474" s="12">
        <v>5.86</v>
      </c>
      <c r="V474" s="12"/>
      <c r="W474" s="12">
        <v>18.0</v>
      </c>
      <c r="X474" s="8">
        <v>24981.0</v>
      </c>
      <c r="Y474" s="8">
        <v>1916.0</v>
      </c>
      <c r="Z474" s="8">
        <v>1079.0</v>
      </c>
      <c r="AA474" s="8">
        <v>9.419</v>
      </c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 ht="15.75" customHeight="1">
      <c r="A475" s="6">
        <v>474.0</v>
      </c>
      <c r="B475" s="7">
        <v>49783.0</v>
      </c>
      <c r="C475" s="8">
        <v>96.7</v>
      </c>
      <c r="D475" s="8">
        <v>88.57</v>
      </c>
      <c r="E475" s="8">
        <v>80.87</v>
      </c>
      <c r="F475" s="8">
        <v>96.7</v>
      </c>
      <c r="G475" s="8">
        <v>88.57</v>
      </c>
      <c r="H475" s="8">
        <v>80.87</v>
      </c>
      <c r="I475" s="8">
        <v>35.0</v>
      </c>
      <c r="J475" s="8">
        <v>24.3</v>
      </c>
      <c r="K475" s="8">
        <v>74.2</v>
      </c>
      <c r="L475" s="9">
        <f t="shared" si="1"/>
        <v>228.4</v>
      </c>
      <c r="M475" s="9">
        <f t="shared" si="2"/>
        <v>144.8364751</v>
      </c>
      <c r="N475" s="9">
        <f t="shared" si="3"/>
        <v>126</v>
      </c>
      <c r="O475" s="9">
        <f t="shared" si="4"/>
        <v>242.2</v>
      </c>
      <c r="P475" s="9">
        <f t="shared" si="6"/>
        <v>183.6</v>
      </c>
      <c r="Q475" s="9">
        <f t="shared" ref="Q475:R475" si="473">average(L469:L475)</f>
        <v>203.6285714</v>
      </c>
      <c r="R475" s="9">
        <f t="shared" si="473"/>
        <v>125.9431616</v>
      </c>
      <c r="S475" s="11">
        <v>54.25</v>
      </c>
      <c r="T475" s="11">
        <v>47.0625</v>
      </c>
      <c r="U475" s="12">
        <v>5.34</v>
      </c>
      <c r="V475" s="12"/>
      <c r="W475" s="12">
        <v>16.0</v>
      </c>
      <c r="X475" s="8">
        <v>25060.0</v>
      </c>
      <c r="Y475" s="8">
        <v>2162.0</v>
      </c>
      <c r="Z475" s="8">
        <v>927.0</v>
      </c>
      <c r="AA475" s="8">
        <v>9.224</v>
      </c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 ht="15.75" customHeight="1">
      <c r="A476" s="6">
        <v>475.0</v>
      </c>
      <c r="B476" s="7">
        <v>49784.0</v>
      </c>
      <c r="C476" s="8">
        <v>100.4</v>
      </c>
      <c r="D476" s="8">
        <v>86.53</v>
      </c>
      <c r="E476" s="8">
        <v>81.27</v>
      </c>
      <c r="F476" s="8">
        <v>100.4</v>
      </c>
      <c r="G476" s="8">
        <v>86.53</v>
      </c>
      <c r="H476" s="8">
        <v>81.27</v>
      </c>
      <c r="I476" s="8">
        <v>59.0</v>
      </c>
      <c r="J476" s="8">
        <v>27.5</v>
      </c>
      <c r="K476" s="8">
        <v>76.7</v>
      </c>
      <c r="L476" s="9">
        <f t="shared" si="1"/>
        <v>259.8</v>
      </c>
      <c r="M476" s="9">
        <f t="shared" si="2"/>
        <v>153.6530204</v>
      </c>
      <c r="N476" s="9">
        <f t="shared" si="3"/>
        <v>228.4</v>
      </c>
      <c r="O476" s="9">
        <f t="shared" si="4"/>
        <v>126</v>
      </c>
      <c r="P476" s="9">
        <f t="shared" si="6"/>
        <v>212.2</v>
      </c>
      <c r="Q476" s="9">
        <f t="shared" ref="Q476:R476" si="474">average(L470:L476)</f>
        <v>214.5142857</v>
      </c>
      <c r="R476" s="9">
        <f t="shared" si="474"/>
        <v>131.9386707</v>
      </c>
      <c r="S476" s="11">
        <v>54.25</v>
      </c>
      <c r="T476" s="11">
        <v>47.4025</v>
      </c>
      <c r="U476" s="12">
        <v>6.63</v>
      </c>
      <c r="V476" s="12"/>
      <c r="W476" s="12">
        <v>16.0</v>
      </c>
      <c r="X476" s="8">
        <v>24772.0</v>
      </c>
      <c r="Y476" s="8">
        <v>2240.0</v>
      </c>
      <c r="Z476" s="8">
        <v>1192.0</v>
      </c>
      <c r="AA476" s="8">
        <v>9.079</v>
      </c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 ht="15.75" customHeight="1">
      <c r="A477" s="6">
        <v>476.0</v>
      </c>
      <c r="B477" s="7">
        <v>49785.0</v>
      </c>
      <c r="C477" s="8">
        <v>100.1</v>
      </c>
      <c r="D477" s="8">
        <v>88.01</v>
      </c>
      <c r="E477" s="8">
        <v>81.34</v>
      </c>
      <c r="F477" s="8">
        <v>100.1</v>
      </c>
      <c r="G477" s="8">
        <v>88.01</v>
      </c>
      <c r="H477" s="8">
        <v>81.34</v>
      </c>
      <c r="I477" s="8">
        <v>35.0</v>
      </c>
      <c r="J477" s="8">
        <v>34.4</v>
      </c>
      <c r="K477" s="8">
        <v>74.5</v>
      </c>
      <c r="L477" s="9">
        <f t="shared" si="1"/>
        <v>235.2</v>
      </c>
      <c r="M477" s="9">
        <f t="shared" si="2"/>
        <v>152.2876427</v>
      </c>
      <c r="N477" s="9">
        <f t="shared" si="3"/>
        <v>259.8</v>
      </c>
      <c r="O477" s="9">
        <f t="shared" si="4"/>
        <v>228.4</v>
      </c>
      <c r="P477" s="9">
        <f t="shared" si="6"/>
        <v>200.6</v>
      </c>
      <c r="Q477" s="9">
        <f t="shared" ref="Q477:R477" si="475">average(L471:L477)</f>
        <v>217.8</v>
      </c>
      <c r="R477" s="9">
        <f t="shared" si="475"/>
        <v>134.5653316</v>
      </c>
      <c r="S477" s="11">
        <v>56.05</v>
      </c>
      <c r="T477" s="11">
        <v>47.91</v>
      </c>
      <c r="U477" s="12">
        <v>7.93</v>
      </c>
      <c r="V477" s="12"/>
      <c r="W477" s="12">
        <v>13.0</v>
      </c>
      <c r="X477" s="8">
        <v>26144.0</v>
      </c>
      <c r="Y477" s="8">
        <v>2265.0</v>
      </c>
      <c r="Z477" s="8">
        <v>1184.0</v>
      </c>
      <c r="AA477" s="8">
        <v>9.885</v>
      </c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 ht="15.75" customHeight="1">
      <c r="A478" s="6">
        <v>477.0</v>
      </c>
      <c r="B478" s="7">
        <v>49786.0</v>
      </c>
      <c r="C478" s="8">
        <v>105.7</v>
      </c>
      <c r="D478" s="8">
        <v>88.01</v>
      </c>
      <c r="E478" s="8">
        <v>81.34</v>
      </c>
      <c r="F478" s="8">
        <v>105.7</v>
      </c>
      <c r="G478" s="8">
        <v>88.01</v>
      </c>
      <c r="H478" s="8">
        <v>81.34</v>
      </c>
      <c r="I478" s="8">
        <v>40.0</v>
      </c>
      <c r="J478" s="8">
        <v>34.4</v>
      </c>
      <c r="K478" s="8">
        <v>74.5</v>
      </c>
      <c r="L478" s="9">
        <f t="shared" si="1"/>
        <v>251.4</v>
      </c>
      <c r="M478" s="9">
        <f t="shared" si="2"/>
        <v>161.5868241</v>
      </c>
      <c r="N478" s="9">
        <f t="shared" si="3"/>
        <v>235.2</v>
      </c>
      <c r="O478" s="9">
        <f t="shared" si="4"/>
        <v>259.8</v>
      </c>
      <c r="P478" s="9">
        <f t="shared" si="6"/>
        <v>232.4</v>
      </c>
      <c r="Q478" s="9">
        <f t="shared" ref="Q478:R478" si="476">average(L472:L478)</f>
        <v>225.0571429</v>
      </c>
      <c r="R478" s="9">
        <f t="shared" si="476"/>
        <v>141.4682354</v>
      </c>
      <c r="S478" s="11">
        <v>55.21</v>
      </c>
      <c r="T478" s="11">
        <v>49.0725</v>
      </c>
      <c r="U478" s="12">
        <v>7.65</v>
      </c>
      <c r="V478" s="12"/>
      <c r="W478" s="12">
        <v>14.0</v>
      </c>
      <c r="X478" s="8">
        <v>27243.0</v>
      </c>
      <c r="Y478" s="8">
        <v>2220.0</v>
      </c>
      <c r="Z478" s="8">
        <v>1208.0</v>
      </c>
      <c r="AA478" s="8">
        <v>9.793</v>
      </c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 ht="15.75" customHeight="1">
      <c r="A479" s="6">
        <v>478.0</v>
      </c>
      <c r="B479" s="7">
        <v>49787.0</v>
      </c>
      <c r="C479" s="8">
        <v>70.2</v>
      </c>
      <c r="D479" s="8">
        <v>90.6</v>
      </c>
      <c r="E479" s="8">
        <v>82.3</v>
      </c>
      <c r="F479" s="8">
        <v>70.2</v>
      </c>
      <c r="G479" s="8">
        <v>90.6</v>
      </c>
      <c r="H479" s="8">
        <v>82.3</v>
      </c>
      <c r="I479" s="8">
        <v>45.0</v>
      </c>
      <c r="J479" s="8">
        <v>28.6</v>
      </c>
      <c r="K479" s="8">
        <v>71.3</v>
      </c>
      <c r="L479" s="9">
        <f t="shared" si="1"/>
        <v>185.4</v>
      </c>
      <c r="M479" s="9">
        <f t="shared" si="2"/>
        <v>113.8638852</v>
      </c>
      <c r="N479" s="9">
        <f t="shared" si="3"/>
        <v>251.4</v>
      </c>
      <c r="O479" s="9">
        <f t="shared" si="4"/>
        <v>235.2</v>
      </c>
      <c r="P479" s="9">
        <f t="shared" si="6"/>
        <v>242.2</v>
      </c>
      <c r="Q479" s="9">
        <f t="shared" ref="Q479:R479" si="477">average(L473:L479)</f>
        <v>218.3428571</v>
      </c>
      <c r="R479" s="9">
        <f t="shared" si="477"/>
        <v>137.5439422</v>
      </c>
      <c r="S479" s="11">
        <v>56.38</v>
      </c>
      <c r="T479" s="11">
        <v>50.040000000000006</v>
      </c>
      <c r="U479" s="12">
        <v>6.86</v>
      </c>
      <c r="V479" s="12"/>
      <c r="W479" s="12">
        <v>15.0</v>
      </c>
      <c r="X479" s="8">
        <v>28180.0</v>
      </c>
      <c r="Y479" s="8">
        <v>2085.0</v>
      </c>
      <c r="Z479" s="8">
        <v>1183.0</v>
      </c>
      <c r="AA479" s="8">
        <v>10.593</v>
      </c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 ht="15.75" customHeight="1">
      <c r="A480" s="6">
        <v>479.0</v>
      </c>
      <c r="B480" s="7">
        <v>49788.0</v>
      </c>
      <c r="C480" s="8">
        <v>98.7</v>
      </c>
      <c r="D480" s="8">
        <v>90.21</v>
      </c>
      <c r="E480" s="8">
        <v>82.42</v>
      </c>
      <c r="F480" s="8">
        <v>98.7</v>
      </c>
      <c r="G480" s="8">
        <v>90.21</v>
      </c>
      <c r="H480" s="8">
        <v>82.42</v>
      </c>
      <c r="I480" s="8">
        <v>42.0</v>
      </c>
      <c r="J480" s="8">
        <v>32.6</v>
      </c>
      <c r="K480" s="8">
        <v>73.4</v>
      </c>
      <c r="L480" s="9">
        <f t="shared" si="1"/>
        <v>239.4</v>
      </c>
      <c r="M480" s="9">
        <f t="shared" si="2"/>
        <v>156.8189639</v>
      </c>
      <c r="N480" s="9">
        <f t="shared" si="3"/>
        <v>185.4</v>
      </c>
      <c r="O480" s="9">
        <f t="shared" si="4"/>
        <v>251.4</v>
      </c>
      <c r="P480" s="9">
        <f t="shared" si="6"/>
        <v>126</v>
      </c>
      <c r="Q480" s="9">
        <f t="shared" ref="Q480:R480" si="478">average(L474:L480)</f>
        <v>217.9428571</v>
      </c>
      <c r="R480" s="9">
        <f t="shared" si="478"/>
        <v>138.4043481</v>
      </c>
      <c r="S480" s="11">
        <v>55.66</v>
      </c>
      <c r="T480" s="11">
        <v>51.62</v>
      </c>
      <c r="U480" s="12">
        <v>7.09</v>
      </c>
      <c r="V480" s="12"/>
      <c r="W480" s="12">
        <v>15.0</v>
      </c>
      <c r="X480" s="8">
        <v>24919.0</v>
      </c>
      <c r="Y480" s="8">
        <v>2216.0</v>
      </c>
      <c r="Z480" s="8">
        <v>929.0</v>
      </c>
      <c r="AA480" s="8">
        <v>9.517</v>
      </c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 ht="15.75" customHeight="1">
      <c r="A481" s="6">
        <v>480.0</v>
      </c>
      <c r="B481" s="7">
        <v>49789.0</v>
      </c>
      <c r="C481" s="8">
        <v>110.8</v>
      </c>
      <c r="D481" s="8">
        <v>88.66</v>
      </c>
      <c r="E481" s="8">
        <v>82.01</v>
      </c>
      <c r="F481" s="8">
        <v>110.8</v>
      </c>
      <c r="G481" s="8">
        <v>88.66</v>
      </c>
      <c r="H481" s="8">
        <v>82.01</v>
      </c>
      <c r="I481" s="8">
        <v>36.0</v>
      </c>
      <c r="J481" s="8">
        <v>35.4</v>
      </c>
      <c r="K481" s="8">
        <v>74.2</v>
      </c>
      <c r="L481" s="9">
        <f t="shared" si="1"/>
        <v>257.6</v>
      </c>
      <c r="M481" s="9">
        <f t="shared" si="2"/>
        <v>170.5815543</v>
      </c>
      <c r="N481" s="9">
        <f t="shared" si="3"/>
        <v>239.4</v>
      </c>
      <c r="O481" s="9">
        <f t="shared" si="4"/>
        <v>185.4</v>
      </c>
      <c r="P481" s="9">
        <f t="shared" si="6"/>
        <v>228.4</v>
      </c>
      <c r="Q481" s="9">
        <f t="shared" ref="Q481:R481" si="479">average(L475:L481)</f>
        <v>236.7428571</v>
      </c>
      <c r="R481" s="9">
        <f t="shared" si="479"/>
        <v>150.5183379</v>
      </c>
      <c r="S481" s="11">
        <v>57.0</v>
      </c>
      <c r="T481" s="11">
        <v>51.585</v>
      </c>
      <c r="U481" s="12">
        <v>7.42</v>
      </c>
      <c r="V481" s="12"/>
      <c r="W481" s="12">
        <v>13.0</v>
      </c>
      <c r="X481" s="8">
        <v>26449.0</v>
      </c>
      <c r="Y481" s="8">
        <v>2238.0</v>
      </c>
      <c r="Z481" s="8">
        <v>1056.0</v>
      </c>
      <c r="AA481" s="8">
        <v>10.004</v>
      </c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 ht="15.75" customHeight="1">
      <c r="A482" s="6">
        <v>481.0</v>
      </c>
      <c r="B482" s="7">
        <v>49790.0</v>
      </c>
      <c r="C482" s="8">
        <v>96.6</v>
      </c>
      <c r="D482" s="8">
        <v>89.0</v>
      </c>
      <c r="E482" s="8">
        <v>82.79</v>
      </c>
      <c r="F482" s="8">
        <v>96.6</v>
      </c>
      <c r="G482" s="8">
        <v>89.0</v>
      </c>
      <c r="H482" s="8">
        <v>82.79</v>
      </c>
      <c r="I482" s="8">
        <v>10.0</v>
      </c>
      <c r="J482" s="8">
        <v>18.4</v>
      </c>
      <c r="K482" s="8">
        <v>77.7</v>
      </c>
      <c r="L482" s="9">
        <f t="shared" si="1"/>
        <v>203.2</v>
      </c>
      <c r="M482" s="9">
        <f t="shared" si="2"/>
        <v>143.7854292</v>
      </c>
      <c r="N482" s="9">
        <f t="shared" si="3"/>
        <v>257.6</v>
      </c>
      <c r="O482" s="9">
        <f t="shared" si="4"/>
        <v>239.4</v>
      </c>
      <c r="P482" s="9">
        <f t="shared" si="6"/>
        <v>259.8</v>
      </c>
      <c r="Q482" s="9">
        <f t="shared" ref="Q482:R482" si="480">average(L476:L482)</f>
        <v>233.1428571</v>
      </c>
      <c r="R482" s="9">
        <f t="shared" si="480"/>
        <v>150.3681885</v>
      </c>
      <c r="S482" s="11">
        <v>56.23</v>
      </c>
      <c r="T482" s="11">
        <v>51.1375</v>
      </c>
      <c r="U482" s="12">
        <v>5.26</v>
      </c>
      <c r="V482" s="12"/>
      <c r="W482" s="12">
        <v>14.0</v>
      </c>
      <c r="X482" s="8">
        <v>29069.0</v>
      </c>
      <c r="Y482" s="8">
        <v>1936.0</v>
      </c>
      <c r="Z482" s="8">
        <v>1129.0</v>
      </c>
      <c r="AA482" s="8">
        <v>10.373</v>
      </c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 ht="15.75" customHeight="1">
      <c r="A483" s="6">
        <v>482.0</v>
      </c>
      <c r="B483" s="7">
        <v>49791.0</v>
      </c>
      <c r="C483" s="8">
        <v>111.9</v>
      </c>
      <c r="D483" s="8">
        <v>90.54</v>
      </c>
      <c r="E483" s="8">
        <v>80.39</v>
      </c>
      <c r="F483" s="8">
        <v>111.9</v>
      </c>
      <c r="G483" s="8">
        <v>90.54</v>
      </c>
      <c r="H483" s="8">
        <v>80.39</v>
      </c>
      <c r="I483" s="8">
        <v>23.0</v>
      </c>
      <c r="J483" s="8">
        <v>30.4</v>
      </c>
      <c r="K483" s="8">
        <v>81.8</v>
      </c>
      <c r="L483" s="9">
        <f t="shared" si="1"/>
        <v>246.8</v>
      </c>
      <c r="M483" s="9">
        <f t="shared" si="2"/>
        <v>168.6125232</v>
      </c>
      <c r="N483" s="9">
        <f t="shared" si="3"/>
        <v>203.2</v>
      </c>
      <c r="O483" s="9">
        <f t="shared" si="4"/>
        <v>257.6</v>
      </c>
      <c r="P483" s="9">
        <f t="shared" si="6"/>
        <v>235.2</v>
      </c>
      <c r="Q483" s="9">
        <f t="shared" ref="Q483:R483" si="481">average(L477:L483)</f>
        <v>231.2857143</v>
      </c>
      <c r="R483" s="9">
        <f t="shared" si="481"/>
        <v>152.5052604</v>
      </c>
      <c r="S483" s="11">
        <v>56.03</v>
      </c>
      <c r="T483" s="11">
        <v>51.13499999999999</v>
      </c>
      <c r="U483" s="12">
        <v>6.83</v>
      </c>
      <c r="V483" s="12"/>
      <c r="W483" s="12">
        <v>11.0</v>
      </c>
      <c r="X483" s="8">
        <v>29355.0</v>
      </c>
      <c r="Y483" s="8">
        <v>2370.0</v>
      </c>
      <c r="Z483" s="8">
        <v>1152.0</v>
      </c>
      <c r="AA483" s="8">
        <v>11.804</v>
      </c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 ht="15.75" customHeight="1">
      <c r="A484" s="6">
        <v>483.0</v>
      </c>
      <c r="B484" s="7">
        <v>49792.0</v>
      </c>
      <c r="C484" s="8">
        <v>108.5</v>
      </c>
      <c r="D484" s="8">
        <v>91.72</v>
      </c>
      <c r="E484" s="8">
        <v>62.96</v>
      </c>
      <c r="F484" s="8">
        <v>108.5</v>
      </c>
      <c r="G484" s="8">
        <v>91.72</v>
      </c>
      <c r="H484" s="8">
        <v>62.96</v>
      </c>
      <c r="I484" s="8">
        <v>15.0</v>
      </c>
      <c r="J484" s="8">
        <v>22.2</v>
      </c>
      <c r="K484" s="8">
        <v>83.7</v>
      </c>
      <c r="L484" s="9">
        <f t="shared" si="1"/>
        <v>232</v>
      </c>
      <c r="M484" s="9">
        <f t="shared" si="2"/>
        <v>128.098009</v>
      </c>
      <c r="N484" s="9">
        <f t="shared" si="3"/>
        <v>246.8</v>
      </c>
      <c r="O484" s="9">
        <f t="shared" si="4"/>
        <v>203.2</v>
      </c>
      <c r="P484" s="9">
        <f t="shared" si="6"/>
        <v>251.4</v>
      </c>
      <c r="Q484" s="9">
        <f t="shared" ref="Q484:R484" si="482">average(L478:L484)</f>
        <v>230.8285714</v>
      </c>
      <c r="R484" s="9">
        <f t="shared" si="482"/>
        <v>149.0495984</v>
      </c>
      <c r="S484" s="11">
        <v>56.29</v>
      </c>
      <c r="T484" s="11">
        <v>51.1575</v>
      </c>
      <c r="U484" s="12">
        <v>5.76</v>
      </c>
      <c r="V484" s="12"/>
      <c r="W484" s="12">
        <v>14.0</v>
      </c>
      <c r="X484" s="8">
        <v>31603.0</v>
      </c>
      <c r="Y484" s="8">
        <v>2140.0</v>
      </c>
      <c r="Z484" s="8">
        <v>1204.0</v>
      </c>
      <c r="AA484" s="8">
        <v>12.022</v>
      </c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 ht="15.75" customHeight="1">
      <c r="A485" s="6">
        <v>484.0</v>
      </c>
      <c r="B485" s="7">
        <v>49793.0</v>
      </c>
      <c r="C485" s="8">
        <v>110.1</v>
      </c>
      <c r="D485" s="8">
        <v>92.81</v>
      </c>
      <c r="E485" s="8">
        <v>82.23</v>
      </c>
      <c r="F485" s="8">
        <v>110.1</v>
      </c>
      <c r="G485" s="8">
        <v>92.81</v>
      </c>
      <c r="H485" s="8">
        <v>82.23</v>
      </c>
      <c r="I485" s="8">
        <v>17.0</v>
      </c>
      <c r="J485" s="8">
        <v>26.6</v>
      </c>
      <c r="K485" s="8">
        <v>83.6</v>
      </c>
      <c r="L485" s="9">
        <f t="shared" si="1"/>
        <v>237.2</v>
      </c>
      <c r="M485" s="9">
        <f t="shared" si="2"/>
        <v>171.8318859</v>
      </c>
      <c r="N485" s="9">
        <f t="shared" si="3"/>
        <v>232</v>
      </c>
      <c r="O485" s="9">
        <f t="shared" si="4"/>
        <v>246.8</v>
      </c>
      <c r="P485" s="9">
        <f t="shared" si="6"/>
        <v>185.4</v>
      </c>
      <c r="Q485" s="9">
        <f t="shared" ref="Q485:R485" si="483">average(L479:L485)</f>
        <v>228.8</v>
      </c>
      <c r="R485" s="9">
        <f t="shared" si="483"/>
        <v>150.5131787</v>
      </c>
      <c r="S485" s="11">
        <v>55.77</v>
      </c>
      <c r="T485" s="11">
        <v>51.38</v>
      </c>
      <c r="U485" s="12">
        <v>7.37</v>
      </c>
      <c r="V485" s="12"/>
      <c r="W485" s="12">
        <v>12.0</v>
      </c>
      <c r="X485" s="8">
        <v>29782.0</v>
      </c>
      <c r="Y485" s="8">
        <v>2395.0</v>
      </c>
      <c r="Z485" s="8">
        <v>1128.1</v>
      </c>
      <c r="AA485" s="8">
        <v>12.005</v>
      </c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 ht="15.75" customHeight="1">
      <c r="A486" s="6">
        <v>485.0</v>
      </c>
      <c r="B486" s="7">
        <v>49794.0</v>
      </c>
      <c r="C486" s="8">
        <v>101.8</v>
      </c>
      <c r="D486" s="8">
        <v>91.72</v>
      </c>
      <c r="E486" s="8">
        <v>82.61</v>
      </c>
      <c r="F486" s="8">
        <v>101.8</v>
      </c>
      <c r="G486" s="8">
        <v>91.72</v>
      </c>
      <c r="H486" s="8">
        <v>82.61</v>
      </c>
      <c r="I486" s="8">
        <v>12.0</v>
      </c>
      <c r="J486" s="8">
        <v>28.9</v>
      </c>
      <c r="K486" s="8">
        <v>85.8</v>
      </c>
      <c r="L486" s="9">
        <f t="shared" si="1"/>
        <v>215.6</v>
      </c>
      <c r="M486" s="9">
        <f t="shared" si="2"/>
        <v>157.2430441</v>
      </c>
      <c r="N486" s="9">
        <f t="shared" si="3"/>
        <v>237.2</v>
      </c>
      <c r="O486" s="9">
        <f t="shared" si="4"/>
        <v>232</v>
      </c>
      <c r="P486" s="9">
        <f t="shared" si="6"/>
        <v>239.4</v>
      </c>
      <c r="Q486" s="9">
        <f t="shared" ref="Q486:R486" si="484">average(L480:L486)</f>
        <v>233.1142857</v>
      </c>
      <c r="R486" s="9">
        <f t="shared" si="484"/>
        <v>156.7102014</v>
      </c>
      <c r="S486" s="11">
        <v>55.97</v>
      </c>
      <c r="T486" s="11">
        <v>51.300000000000004</v>
      </c>
      <c r="U486" s="12">
        <v>8.78</v>
      </c>
      <c r="V486" s="12"/>
      <c r="W486" s="12">
        <v>12.0</v>
      </c>
      <c r="X486" s="8">
        <v>30832.0</v>
      </c>
      <c r="Y486" s="8">
        <v>2465.0</v>
      </c>
      <c r="Z486" s="8">
        <v>1200.0</v>
      </c>
      <c r="AA486" s="8">
        <v>12.343</v>
      </c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 ht="15.75" customHeight="1">
      <c r="A487" s="6">
        <v>486.0</v>
      </c>
      <c r="B487" s="7">
        <v>49795.0</v>
      </c>
      <c r="C487" s="8">
        <v>110.7</v>
      </c>
      <c r="D487" s="8">
        <v>91.83</v>
      </c>
      <c r="E487" s="8">
        <v>80.55</v>
      </c>
      <c r="F487" s="8">
        <v>110.7</v>
      </c>
      <c r="G487" s="8">
        <v>91.83</v>
      </c>
      <c r="H487" s="8">
        <v>80.55</v>
      </c>
      <c r="I487" s="8">
        <v>34.0</v>
      </c>
      <c r="J487" s="8">
        <v>22.1</v>
      </c>
      <c r="K487" s="8">
        <v>82.1</v>
      </c>
      <c r="L487" s="9">
        <f t="shared" si="1"/>
        <v>255.4</v>
      </c>
      <c r="M487" s="9">
        <f t="shared" si="2"/>
        <v>169.9365039</v>
      </c>
      <c r="N487" s="9">
        <f t="shared" si="3"/>
        <v>215.6</v>
      </c>
      <c r="O487" s="9">
        <f t="shared" si="4"/>
        <v>237.2</v>
      </c>
      <c r="P487" s="9">
        <f t="shared" si="6"/>
        <v>257.6</v>
      </c>
      <c r="Q487" s="9">
        <f t="shared" ref="Q487:R487" si="485">average(L481:L487)</f>
        <v>235.4</v>
      </c>
      <c r="R487" s="9">
        <f t="shared" si="485"/>
        <v>158.5841357</v>
      </c>
      <c r="S487" s="11">
        <v>56.16</v>
      </c>
      <c r="T487" s="11">
        <v>51.182500000000005</v>
      </c>
      <c r="U487" s="12">
        <v>7.79</v>
      </c>
      <c r="V487" s="12"/>
      <c r="W487" s="12">
        <v>11.0</v>
      </c>
      <c r="X487" s="8">
        <v>30498.0</v>
      </c>
      <c r="Y487" s="8">
        <v>2370.0</v>
      </c>
      <c r="Z487" s="8">
        <v>1054.0</v>
      </c>
      <c r="AA487" s="8">
        <v>12.277</v>
      </c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 ht="15.75" customHeight="1">
      <c r="A488" s="6">
        <v>487.0</v>
      </c>
      <c r="B488" s="7">
        <v>49796.0</v>
      </c>
      <c r="C488" s="8">
        <v>106.6</v>
      </c>
      <c r="D488" s="8">
        <v>86.8</v>
      </c>
      <c r="E488" s="8">
        <v>82.86</v>
      </c>
      <c r="F488" s="8">
        <v>106.6</v>
      </c>
      <c r="G488" s="8">
        <v>86.8</v>
      </c>
      <c r="H488" s="8">
        <v>82.86</v>
      </c>
      <c r="I488" s="8">
        <v>30.0</v>
      </c>
      <c r="J488" s="8">
        <v>15.8</v>
      </c>
      <c r="K488" s="8">
        <v>82.2</v>
      </c>
      <c r="L488" s="9">
        <f t="shared" si="1"/>
        <v>243.2</v>
      </c>
      <c r="M488" s="9">
        <f t="shared" si="2"/>
        <v>157.2350074</v>
      </c>
      <c r="N488" s="9">
        <f t="shared" si="3"/>
        <v>255.4</v>
      </c>
      <c r="O488" s="9">
        <f t="shared" si="4"/>
        <v>215.6</v>
      </c>
      <c r="P488" s="9">
        <f t="shared" si="6"/>
        <v>203.2</v>
      </c>
      <c r="Q488" s="9">
        <f t="shared" ref="Q488:R488" si="486">average(L482:L488)</f>
        <v>233.3428571</v>
      </c>
      <c r="R488" s="9">
        <f t="shared" si="486"/>
        <v>156.6774861</v>
      </c>
      <c r="S488" s="11">
        <v>55.47</v>
      </c>
      <c r="T488" s="11">
        <v>51.1075</v>
      </c>
      <c r="U488" s="12">
        <v>4.97</v>
      </c>
      <c r="V488" s="12"/>
      <c r="W488" s="12">
        <v>13.0</v>
      </c>
      <c r="X488" s="8">
        <v>30464.0</v>
      </c>
      <c r="Y488" s="8">
        <v>2110.0</v>
      </c>
      <c r="Z488" s="8">
        <v>1229.0</v>
      </c>
      <c r="AA488" s="8">
        <v>12.604</v>
      </c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 ht="15.75" customHeight="1">
      <c r="A489" s="6">
        <v>488.0</v>
      </c>
      <c r="B489" s="7">
        <v>49797.0</v>
      </c>
      <c r="C489" s="8">
        <v>104.2</v>
      </c>
      <c r="D489" s="8">
        <v>85.71</v>
      </c>
      <c r="E489" s="8">
        <v>82.86</v>
      </c>
      <c r="F489" s="8">
        <v>104.2</v>
      </c>
      <c r="G489" s="8">
        <v>85.71</v>
      </c>
      <c r="H489" s="8">
        <v>82.86</v>
      </c>
      <c r="I489" s="8">
        <v>12.0</v>
      </c>
      <c r="J489" s="8">
        <v>16.2</v>
      </c>
      <c r="K489" s="8">
        <v>81.6</v>
      </c>
      <c r="L489" s="9">
        <f t="shared" si="1"/>
        <v>220.4</v>
      </c>
      <c r="M489" s="9">
        <f t="shared" si="2"/>
        <v>149.5905377</v>
      </c>
      <c r="N489" s="9">
        <f t="shared" si="3"/>
        <v>243.2</v>
      </c>
      <c r="O489" s="9">
        <f t="shared" si="4"/>
        <v>255.4</v>
      </c>
      <c r="P489" s="9">
        <f t="shared" si="6"/>
        <v>246.8</v>
      </c>
      <c r="Q489" s="9">
        <f t="shared" ref="Q489:R489" si="487">average(L483:L489)</f>
        <v>235.8</v>
      </c>
      <c r="R489" s="9">
        <f t="shared" si="487"/>
        <v>157.5067873</v>
      </c>
      <c r="S489" s="11">
        <v>55.34</v>
      </c>
      <c r="T489" s="11">
        <v>50.807500000000005</v>
      </c>
      <c r="U489" s="12">
        <v>6.27</v>
      </c>
      <c r="V489" s="12"/>
      <c r="W489" s="12">
        <v>13.0</v>
      </c>
      <c r="X489" s="8">
        <v>31879.0</v>
      </c>
      <c r="Y489" s="8">
        <v>2227.0</v>
      </c>
      <c r="Z489" s="8">
        <v>1164.0</v>
      </c>
      <c r="AA489" s="8">
        <v>12.31</v>
      </c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 ht="15.75" customHeight="1">
      <c r="A490" s="6">
        <v>489.0</v>
      </c>
      <c r="B490" s="7">
        <v>49798.0</v>
      </c>
      <c r="C490" s="8">
        <v>111.0</v>
      </c>
      <c r="D490" s="8">
        <v>83.95</v>
      </c>
      <c r="E490" s="8">
        <v>82.47</v>
      </c>
      <c r="F490" s="8">
        <v>111.0</v>
      </c>
      <c r="G490" s="8">
        <v>83.95</v>
      </c>
      <c r="H490" s="8">
        <v>82.47</v>
      </c>
      <c r="I490" s="8">
        <v>25.0</v>
      </c>
      <c r="J490" s="8">
        <v>16.9</v>
      </c>
      <c r="K490" s="8">
        <v>81.5</v>
      </c>
      <c r="L490" s="9">
        <f t="shared" si="1"/>
        <v>247</v>
      </c>
      <c r="M490" s="9">
        <f t="shared" si="2"/>
        <v>157.1418893</v>
      </c>
      <c r="N490" s="9">
        <f t="shared" si="3"/>
        <v>220.4</v>
      </c>
      <c r="O490" s="9">
        <f t="shared" si="4"/>
        <v>243.2</v>
      </c>
      <c r="P490" s="9">
        <f t="shared" si="6"/>
        <v>232</v>
      </c>
      <c r="Q490" s="9">
        <f t="shared" ref="Q490:R490" si="488">average(L484:L490)</f>
        <v>235.8285714</v>
      </c>
      <c r="R490" s="9">
        <f t="shared" si="488"/>
        <v>155.8681253</v>
      </c>
      <c r="S490" s="11">
        <v>56.4</v>
      </c>
      <c r="T490" s="11">
        <v>51.1125</v>
      </c>
      <c r="U490" s="12">
        <v>6.94</v>
      </c>
      <c r="V490" s="12"/>
      <c r="W490" s="12">
        <v>11.0</v>
      </c>
      <c r="X490" s="8">
        <v>30211.0</v>
      </c>
      <c r="Y490" s="8">
        <v>2426.0</v>
      </c>
      <c r="Z490" s="8">
        <v>1233.0</v>
      </c>
      <c r="AA490" s="8">
        <v>12.208</v>
      </c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 ht="15.75" customHeight="1">
      <c r="A491" s="6">
        <v>490.0</v>
      </c>
      <c r="B491" s="7">
        <v>49799.0</v>
      </c>
      <c r="C491" s="8">
        <v>86.5</v>
      </c>
      <c r="D491" s="8">
        <v>89.75</v>
      </c>
      <c r="E491" s="8">
        <v>83.57</v>
      </c>
      <c r="F491" s="8">
        <v>86.5</v>
      </c>
      <c r="G491" s="8">
        <v>89.75</v>
      </c>
      <c r="H491" s="8">
        <v>83.57</v>
      </c>
      <c r="I491" s="8">
        <v>20.0</v>
      </c>
      <c r="J491" s="8">
        <v>16.8</v>
      </c>
      <c r="K491" s="8">
        <v>81.9</v>
      </c>
      <c r="L491" s="9">
        <f t="shared" si="1"/>
        <v>193</v>
      </c>
      <c r="M491" s="9">
        <f t="shared" si="2"/>
        <v>132.5088898</v>
      </c>
      <c r="N491" s="9">
        <f t="shared" si="3"/>
        <v>247</v>
      </c>
      <c r="O491" s="9">
        <f t="shared" si="4"/>
        <v>220.4</v>
      </c>
      <c r="P491" s="9">
        <f t="shared" si="6"/>
        <v>237.2</v>
      </c>
      <c r="Q491" s="9">
        <f t="shared" ref="Q491:R491" si="489">average(L485:L491)</f>
        <v>230.2571429</v>
      </c>
      <c r="R491" s="9">
        <f t="shared" si="489"/>
        <v>156.4982512</v>
      </c>
      <c r="S491" s="11">
        <v>56.16</v>
      </c>
      <c r="T491" s="11">
        <v>50.724999999999994</v>
      </c>
      <c r="U491" s="12">
        <v>6.63</v>
      </c>
      <c r="V491" s="12"/>
      <c r="W491" s="12">
        <v>12.0</v>
      </c>
      <c r="X491" s="8">
        <v>28243.0</v>
      </c>
      <c r="Y491" s="8">
        <v>2187.0</v>
      </c>
      <c r="Z491" s="8">
        <v>1099.0</v>
      </c>
      <c r="AA491" s="8">
        <v>12.136</v>
      </c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 ht="15.75" customHeight="1">
      <c r="A492" s="6">
        <v>491.0</v>
      </c>
      <c r="B492" s="7">
        <v>49800.0</v>
      </c>
      <c r="C492" s="8">
        <v>97.9</v>
      </c>
      <c r="D492" s="8">
        <v>82.75</v>
      </c>
      <c r="E492" s="8">
        <v>81.37</v>
      </c>
      <c r="F492" s="8">
        <v>97.9</v>
      </c>
      <c r="G492" s="8">
        <v>82.75</v>
      </c>
      <c r="H492" s="8">
        <v>81.37</v>
      </c>
      <c r="I492" s="8">
        <v>25.0</v>
      </c>
      <c r="J492" s="8">
        <v>22.3</v>
      </c>
      <c r="K492" s="8">
        <v>85.6</v>
      </c>
      <c r="L492" s="9">
        <f t="shared" si="1"/>
        <v>220.8</v>
      </c>
      <c r="M492" s="9">
        <f t="shared" si="2"/>
        <v>136.6115357</v>
      </c>
      <c r="N492" s="9">
        <f t="shared" si="3"/>
        <v>193</v>
      </c>
      <c r="O492" s="9">
        <f t="shared" si="4"/>
        <v>247</v>
      </c>
      <c r="P492" s="9">
        <f t="shared" si="6"/>
        <v>215.6</v>
      </c>
      <c r="Q492" s="9">
        <f t="shared" ref="Q492:R492" si="490">average(L486:L492)</f>
        <v>227.9142857</v>
      </c>
      <c r="R492" s="9">
        <f t="shared" si="490"/>
        <v>151.4667725</v>
      </c>
      <c r="S492" s="11">
        <v>56.23</v>
      </c>
      <c r="T492" s="11">
        <v>50.66499999999999</v>
      </c>
      <c r="U492" s="12">
        <v>6.36</v>
      </c>
      <c r="V492" s="12"/>
      <c r="W492" s="12">
        <v>12.0</v>
      </c>
      <c r="X492" s="8">
        <v>26412.0</v>
      </c>
      <c r="Y492" s="8">
        <v>2213.0</v>
      </c>
      <c r="Z492" s="8">
        <v>1030.0</v>
      </c>
      <c r="AA492" s="8">
        <v>11.353</v>
      </c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 ht="15.75" customHeight="1">
      <c r="A493" s="6">
        <v>492.0</v>
      </c>
      <c r="B493" s="7">
        <v>49801.0</v>
      </c>
      <c r="C493" s="8">
        <v>104.6</v>
      </c>
      <c r="D493" s="8">
        <v>88.33</v>
      </c>
      <c r="E493" s="8">
        <v>79.9</v>
      </c>
      <c r="F493" s="8">
        <v>104.6</v>
      </c>
      <c r="G493" s="8">
        <v>88.33</v>
      </c>
      <c r="H493" s="8">
        <v>79.9</v>
      </c>
      <c r="I493" s="8">
        <v>35.0</v>
      </c>
      <c r="J493" s="8">
        <v>18.5</v>
      </c>
      <c r="K493" s="8">
        <v>81.9</v>
      </c>
      <c r="L493" s="9">
        <f t="shared" si="1"/>
        <v>244.2</v>
      </c>
      <c r="M493" s="9">
        <f t="shared" si="2"/>
        <v>152.9473266</v>
      </c>
      <c r="N493" s="9">
        <f t="shared" si="3"/>
        <v>220.8</v>
      </c>
      <c r="O493" s="9">
        <f t="shared" si="4"/>
        <v>193</v>
      </c>
      <c r="P493" s="9">
        <f t="shared" si="6"/>
        <v>255.4</v>
      </c>
      <c r="Q493" s="9">
        <f t="shared" ref="Q493:R493" si="491">average(L487:L493)</f>
        <v>232</v>
      </c>
      <c r="R493" s="9">
        <f t="shared" si="491"/>
        <v>150.8530986</v>
      </c>
      <c r="S493" s="11">
        <v>56.12</v>
      </c>
      <c r="T493" s="11">
        <v>50.775</v>
      </c>
      <c r="U493" s="12">
        <v>5.73</v>
      </c>
      <c r="V493" s="12"/>
      <c r="W493" s="12">
        <v>14.0</v>
      </c>
      <c r="X493" s="8">
        <v>27375.0</v>
      </c>
      <c r="Y493" s="8">
        <v>2070.0</v>
      </c>
      <c r="Z493" s="8">
        <v>1059.0</v>
      </c>
      <c r="AA493" s="8">
        <v>11.818</v>
      </c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 ht="15.75" customHeight="1">
      <c r="A494" s="6">
        <v>493.0</v>
      </c>
      <c r="B494" s="7">
        <v>49802.0</v>
      </c>
      <c r="C494" s="8">
        <v>111.0</v>
      </c>
      <c r="D494" s="8">
        <v>86.89</v>
      </c>
      <c r="E494" s="8">
        <v>81.27</v>
      </c>
      <c r="F494" s="8">
        <v>111.0</v>
      </c>
      <c r="G494" s="8">
        <v>86.89</v>
      </c>
      <c r="H494" s="8">
        <v>81.27</v>
      </c>
      <c r="I494" s="8">
        <v>10.0</v>
      </c>
      <c r="J494" s="8">
        <v>17.7</v>
      </c>
      <c r="K494" s="8">
        <v>84.3</v>
      </c>
      <c r="L494" s="9">
        <f t="shared" si="1"/>
        <v>232</v>
      </c>
      <c r="M494" s="9">
        <f t="shared" si="2"/>
        <v>158.2585267</v>
      </c>
      <c r="N494" s="9">
        <f t="shared" si="3"/>
        <v>244.2</v>
      </c>
      <c r="O494" s="9">
        <f t="shared" si="4"/>
        <v>220.8</v>
      </c>
      <c r="P494" s="9">
        <f t="shared" si="6"/>
        <v>243.2</v>
      </c>
      <c r="Q494" s="9">
        <f t="shared" ref="Q494:R494" si="492">average(L488:L494)</f>
        <v>228.6571429</v>
      </c>
      <c r="R494" s="9">
        <f t="shared" si="492"/>
        <v>149.1848162</v>
      </c>
      <c r="S494" s="11">
        <v>56.43</v>
      </c>
      <c r="T494" s="11">
        <v>50.7125</v>
      </c>
      <c r="U494" s="12">
        <v>6.26</v>
      </c>
      <c r="V494" s="12"/>
      <c r="W494" s="12">
        <v>13.0</v>
      </c>
      <c r="X494" s="8">
        <v>29604.0</v>
      </c>
      <c r="Y494" s="8">
        <v>2193.0</v>
      </c>
      <c r="Z494" s="8">
        <v>1031.0</v>
      </c>
      <c r="AA494" s="8">
        <v>11.622</v>
      </c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 ht="15.75" customHeight="1">
      <c r="A495" s="6">
        <v>494.0</v>
      </c>
      <c r="B495" s="7">
        <v>49803.0</v>
      </c>
      <c r="C495" s="8">
        <v>102.9</v>
      </c>
      <c r="D495" s="8">
        <v>84.44</v>
      </c>
      <c r="E495" s="8">
        <v>77.57</v>
      </c>
      <c r="F495" s="8">
        <v>102.9</v>
      </c>
      <c r="G495" s="8">
        <v>84.44</v>
      </c>
      <c r="H495" s="8">
        <v>77.57</v>
      </c>
      <c r="I495" s="8">
        <v>20.0</v>
      </c>
      <c r="J495" s="8">
        <v>18.2</v>
      </c>
      <c r="K495" s="8">
        <v>84.6</v>
      </c>
      <c r="L495" s="9">
        <f t="shared" si="1"/>
        <v>225.8</v>
      </c>
      <c r="M495" s="9">
        <f t="shared" si="2"/>
        <v>137.8786623</v>
      </c>
      <c r="N495" s="9">
        <f t="shared" si="3"/>
        <v>232</v>
      </c>
      <c r="O495" s="9">
        <f t="shared" si="4"/>
        <v>244.2</v>
      </c>
      <c r="P495" s="9">
        <f t="shared" si="6"/>
        <v>220.4</v>
      </c>
      <c r="Q495" s="9">
        <f t="shared" ref="Q495:R495" si="493">average(L489:L495)</f>
        <v>226.1714286</v>
      </c>
      <c r="R495" s="9">
        <f t="shared" si="493"/>
        <v>146.419624</v>
      </c>
      <c r="S495" s="11">
        <v>55.59</v>
      </c>
      <c r="T495" s="11">
        <v>50.3575</v>
      </c>
      <c r="U495" s="12">
        <v>6.04</v>
      </c>
      <c r="V495" s="12"/>
      <c r="W495" s="12">
        <v>13.0</v>
      </c>
      <c r="X495" s="8">
        <v>30518.0</v>
      </c>
      <c r="Y495" s="8">
        <v>2234.0</v>
      </c>
      <c r="Z495" s="8">
        <v>1068.0</v>
      </c>
      <c r="AA495" s="8">
        <v>13.003</v>
      </c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 ht="15.75" customHeight="1">
      <c r="A496" s="6">
        <v>495.0</v>
      </c>
      <c r="B496" s="7">
        <v>49804.0</v>
      </c>
      <c r="C496" s="8">
        <v>67.9</v>
      </c>
      <c r="D496" s="8">
        <v>84.04</v>
      </c>
      <c r="E496" s="8">
        <v>77.57</v>
      </c>
      <c r="F496" s="8">
        <v>67.9</v>
      </c>
      <c r="G496" s="8">
        <v>84.04</v>
      </c>
      <c r="H496" s="8">
        <v>77.57</v>
      </c>
      <c r="I496" s="8">
        <v>12.0</v>
      </c>
      <c r="J496" s="8">
        <v>16.2</v>
      </c>
      <c r="K496" s="8">
        <v>86.6</v>
      </c>
      <c r="L496" s="9">
        <f t="shared" si="1"/>
        <v>147.8</v>
      </c>
      <c r="M496" s="9">
        <f t="shared" si="2"/>
        <v>90.21129042</v>
      </c>
      <c r="N496" s="9">
        <f t="shared" si="3"/>
        <v>225.8</v>
      </c>
      <c r="O496" s="9">
        <f t="shared" si="4"/>
        <v>232</v>
      </c>
      <c r="P496" s="9">
        <f t="shared" si="6"/>
        <v>247</v>
      </c>
      <c r="Q496" s="9">
        <f t="shared" ref="Q496:R496" si="494">average(L490:L496)</f>
        <v>215.8</v>
      </c>
      <c r="R496" s="9">
        <f t="shared" si="494"/>
        <v>137.9368744</v>
      </c>
      <c r="S496" s="11">
        <v>55.58</v>
      </c>
      <c r="T496" s="11">
        <v>49.79</v>
      </c>
      <c r="U496" s="12">
        <v>6.8</v>
      </c>
      <c r="V496" s="12"/>
      <c r="W496" s="12">
        <v>13.0</v>
      </c>
      <c r="X496" s="8">
        <v>28778.0</v>
      </c>
      <c r="Y496" s="8">
        <v>2300.0</v>
      </c>
      <c r="Z496" s="8">
        <v>1036.0</v>
      </c>
      <c r="AA496" s="8">
        <v>12.336</v>
      </c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 ht="15.75" customHeight="1">
      <c r="A497" s="6">
        <v>496.0</v>
      </c>
      <c r="B497" s="7">
        <v>49805.0</v>
      </c>
      <c r="C497" s="8">
        <v>73.3</v>
      </c>
      <c r="D497" s="8">
        <v>84.11</v>
      </c>
      <c r="E497" s="8">
        <v>83.06</v>
      </c>
      <c r="F497" s="8">
        <v>73.3</v>
      </c>
      <c r="G497" s="8">
        <v>84.11</v>
      </c>
      <c r="H497" s="8">
        <v>83.06</v>
      </c>
      <c r="I497" s="8">
        <v>19.0</v>
      </c>
      <c r="J497" s="8">
        <v>15.4</v>
      </c>
      <c r="K497" s="8">
        <v>80.2</v>
      </c>
      <c r="L497" s="9">
        <f t="shared" si="1"/>
        <v>165.6</v>
      </c>
      <c r="M497" s="9">
        <f t="shared" si="2"/>
        <v>104.764001</v>
      </c>
      <c r="N497" s="9">
        <f t="shared" si="3"/>
        <v>147.8</v>
      </c>
      <c r="O497" s="9">
        <f t="shared" si="4"/>
        <v>225.8</v>
      </c>
      <c r="P497" s="9">
        <f t="shared" si="6"/>
        <v>193</v>
      </c>
      <c r="Q497" s="9">
        <f t="shared" ref="Q497:R497" si="495">average(L491:L497)</f>
        <v>204.1714286</v>
      </c>
      <c r="R497" s="9">
        <f t="shared" si="495"/>
        <v>130.4543189</v>
      </c>
      <c r="S497" s="11">
        <v>55.68</v>
      </c>
      <c r="T497" s="11">
        <v>50.2875</v>
      </c>
      <c r="U497" s="12">
        <v>5.71</v>
      </c>
      <c r="V497" s="12"/>
      <c r="W497" s="12">
        <v>11.0</v>
      </c>
      <c r="X497" s="8">
        <v>27438.0</v>
      </c>
      <c r="Y497" s="8">
        <v>2305.0</v>
      </c>
      <c r="Z497" s="8">
        <v>1151.0</v>
      </c>
      <c r="AA497" s="8">
        <v>11.271</v>
      </c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 ht="15.75" customHeight="1">
      <c r="A498" s="6">
        <v>497.0</v>
      </c>
      <c r="B498" s="7">
        <v>49806.0</v>
      </c>
      <c r="C498" s="8">
        <v>63.8</v>
      </c>
      <c r="D498" s="8">
        <v>84.11</v>
      </c>
      <c r="E498" s="8">
        <v>83.06</v>
      </c>
      <c r="F498" s="8">
        <v>63.8</v>
      </c>
      <c r="G498" s="8">
        <v>84.11</v>
      </c>
      <c r="H498" s="8">
        <v>83.06</v>
      </c>
      <c r="I498" s="8">
        <v>10.0</v>
      </c>
      <c r="J498" s="8">
        <v>17.4</v>
      </c>
      <c r="K498" s="8">
        <v>82.1</v>
      </c>
      <c r="L498" s="9">
        <f t="shared" si="1"/>
        <v>137.6</v>
      </c>
      <c r="M498" s="9">
        <f t="shared" si="2"/>
        <v>90.57215342</v>
      </c>
      <c r="N498" s="9">
        <f t="shared" si="3"/>
        <v>165.6</v>
      </c>
      <c r="O498" s="9">
        <f t="shared" si="4"/>
        <v>147.8</v>
      </c>
      <c r="P498" s="9">
        <f t="shared" si="6"/>
        <v>220.8</v>
      </c>
      <c r="Q498" s="9">
        <f t="shared" ref="Q498:R498" si="496">average(L492:L498)</f>
        <v>196.2571429</v>
      </c>
      <c r="R498" s="9">
        <f t="shared" si="496"/>
        <v>124.4633566</v>
      </c>
      <c r="S498" s="11">
        <v>56.126</v>
      </c>
      <c r="T498" s="11">
        <v>50.39750000000001</v>
      </c>
      <c r="U498" s="12">
        <v>6.1</v>
      </c>
      <c r="V498" s="12"/>
      <c r="W498" s="12">
        <v>12.0</v>
      </c>
      <c r="X498" s="8">
        <v>24282.0</v>
      </c>
      <c r="Y498" s="8">
        <v>2495.0</v>
      </c>
      <c r="Z498" s="8">
        <v>1083.0</v>
      </c>
      <c r="AA498" s="8">
        <v>10.06</v>
      </c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 ht="15.75" customHeight="1">
      <c r="A499" s="6">
        <v>498.0</v>
      </c>
      <c r="B499" s="7">
        <v>49807.0</v>
      </c>
      <c r="C499" s="8">
        <v>86.6</v>
      </c>
      <c r="D499" s="8">
        <v>86.17</v>
      </c>
      <c r="E499" s="8">
        <v>80.66</v>
      </c>
      <c r="F499" s="8">
        <v>86.6</v>
      </c>
      <c r="G499" s="8">
        <v>86.17</v>
      </c>
      <c r="H499" s="8">
        <v>80.66</v>
      </c>
      <c r="I499" s="8">
        <v>14.0</v>
      </c>
      <c r="J499" s="8">
        <v>21.7</v>
      </c>
      <c r="K499" s="8">
        <v>84.7</v>
      </c>
      <c r="L499" s="9">
        <f t="shared" si="1"/>
        <v>187.2</v>
      </c>
      <c r="M499" s="9">
        <f t="shared" si="2"/>
        <v>122.9553645</v>
      </c>
      <c r="N499" s="9">
        <f t="shared" si="3"/>
        <v>137.6</v>
      </c>
      <c r="O499" s="9">
        <f t="shared" si="4"/>
        <v>165.6</v>
      </c>
      <c r="P499" s="9">
        <f t="shared" si="6"/>
        <v>244.2</v>
      </c>
      <c r="Q499" s="9">
        <f t="shared" ref="Q499:R499" si="497">average(L493:L499)</f>
        <v>191.4571429</v>
      </c>
      <c r="R499" s="9">
        <f t="shared" si="497"/>
        <v>122.512475</v>
      </c>
      <c r="S499" s="11">
        <v>56.25</v>
      </c>
      <c r="T499" s="11">
        <v>50.629999999999995</v>
      </c>
      <c r="U499" s="12">
        <v>5.88</v>
      </c>
      <c r="V499" s="12"/>
      <c r="W499" s="12">
        <v>15.0</v>
      </c>
      <c r="X499" s="8">
        <v>22776.0</v>
      </c>
      <c r="Y499" s="8">
        <v>2374.0</v>
      </c>
      <c r="Z499" s="8">
        <v>749.0</v>
      </c>
      <c r="AA499" s="8">
        <v>9.374</v>
      </c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 ht="15.75" customHeight="1">
      <c r="A500" s="6">
        <v>499.0</v>
      </c>
      <c r="B500" s="7">
        <v>49808.0</v>
      </c>
      <c r="C500" s="8">
        <v>95.6</v>
      </c>
      <c r="D500" s="8">
        <v>87.61</v>
      </c>
      <c r="E500" s="8">
        <v>83.61</v>
      </c>
      <c r="F500" s="8">
        <v>95.6</v>
      </c>
      <c r="G500" s="8">
        <v>87.61</v>
      </c>
      <c r="H500" s="8">
        <v>83.61</v>
      </c>
      <c r="I500" s="8">
        <v>11.0</v>
      </c>
      <c r="J500" s="8">
        <v>31.1</v>
      </c>
      <c r="K500" s="8">
        <v>86.6</v>
      </c>
      <c r="L500" s="9">
        <f t="shared" si="1"/>
        <v>202.2</v>
      </c>
      <c r="M500" s="9">
        <f t="shared" si="2"/>
        <v>143.0179646</v>
      </c>
      <c r="N500" s="9">
        <f t="shared" si="3"/>
        <v>187.2</v>
      </c>
      <c r="O500" s="9">
        <f t="shared" si="4"/>
        <v>137.6</v>
      </c>
      <c r="P500" s="9">
        <f t="shared" si="6"/>
        <v>232</v>
      </c>
      <c r="Q500" s="9">
        <f t="shared" ref="Q500:R500" si="498">average(L494:L500)</f>
        <v>185.4571429</v>
      </c>
      <c r="R500" s="9">
        <f t="shared" si="498"/>
        <v>121.0939947</v>
      </c>
      <c r="S500" s="11">
        <v>56.58</v>
      </c>
      <c r="T500" s="11">
        <v>50.415</v>
      </c>
      <c r="U500" s="12">
        <v>7.28</v>
      </c>
      <c r="V500" s="12"/>
      <c r="W500" s="12">
        <v>15.0</v>
      </c>
      <c r="X500" s="8">
        <v>23036.0</v>
      </c>
      <c r="Y500" s="8">
        <v>2465.0</v>
      </c>
      <c r="Z500" s="8">
        <v>857.0</v>
      </c>
      <c r="AA500" s="8">
        <v>9.096</v>
      </c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 ht="15.75" customHeight="1">
      <c r="A501" s="6">
        <v>500.0</v>
      </c>
      <c r="B501" s="7">
        <v>49809.0</v>
      </c>
      <c r="C501" s="8">
        <v>97.4</v>
      </c>
      <c r="D501" s="8">
        <v>85.96</v>
      </c>
      <c r="E501" s="8">
        <v>84.09</v>
      </c>
      <c r="F501" s="8">
        <v>97.4</v>
      </c>
      <c r="G501" s="8">
        <v>85.96</v>
      </c>
      <c r="H501" s="8">
        <v>84.09</v>
      </c>
      <c r="I501" s="8">
        <v>23.0</v>
      </c>
      <c r="J501" s="8">
        <v>27.7</v>
      </c>
      <c r="K501" s="8">
        <v>83.3</v>
      </c>
      <c r="L501" s="9">
        <f t="shared" si="1"/>
        <v>217.8</v>
      </c>
      <c r="M501" s="9">
        <f t="shared" si="2"/>
        <v>146.1158153</v>
      </c>
      <c r="N501" s="9">
        <f t="shared" si="3"/>
        <v>202.2</v>
      </c>
      <c r="O501" s="9">
        <f t="shared" si="4"/>
        <v>187.2</v>
      </c>
      <c r="P501" s="9">
        <f t="shared" si="6"/>
        <v>225.8</v>
      </c>
      <c r="Q501" s="9">
        <f t="shared" ref="Q501:R501" si="499">average(L495:L501)</f>
        <v>183.4285714</v>
      </c>
      <c r="R501" s="9">
        <f t="shared" si="499"/>
        <v>119.3593216</v>
      </c>
      <c r="S501" s="11">
        <v>56.42</v>
      </c>
      <c r="T501" s="11">
        <v>50.425000000000004</v>
      </c>
      <c r="U501" s="12">
        <v>6.62</v>
      </c>
      <c r="V501" s="12"/>
      <c r="W501" s="12">
        <v>14.0</v>
      </c>
      <c r="X501" s="8">
        <v>23776.0</v>
      </c>
      <c r="Y501" s="8">
        <v>2302.0</v>
      </c>
      <c r="Z501" s="8">
        <v>1139.0</v>
      </c>
      <c r="AA501" s="8">
        <v>10.032</v>
      </c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 ht="15.75" customHeight="1">
      <c r="A502" s="6">
        <v>501.0</v>
      </c>
      <c r="B502" s="7">
        <v>49810.0</v>
      </c>
      <c r="C502" s="8">
        <v>112.5</v>
      </c>
      <c r="D502" s="8">
        <v>91.61</v>
      </c>
      <c r="E502" s="8">
        <v>83.02</v>
      </c>
      <c r="F502" s="8">
        <v>112.5</v>
      </c>
      <c r="G502" s="8">
        <v>91.61</v>
      </c>
      <c r="H502" s="8">
        <v>83.02</v>
      </c>
      <c r="I502" s="8">
        <v>46.0</v>
      </c>
      <c r="J502" s="8">
        <v>20.3</v>
      </c>
      <c r="K502" s="8">
        <v>83.6</v>
      </c>
      <c r="L502" s="9">
        <f t="shared" si="1"/>
        <v>271</v>
      </c>
      <c r="M502" s="9">
        <f t="shared" si="2"/>
        <v>178.9294675</v>
      </c>
      <c r="N502" s="9">
        <f t="shared" si="3"/>
        <v>217.8</v>
      </c>
      <c r="O502" s="9">
        <f t="shared" si="4"/>
        <v>202.2</v>
      </c>
      <c r="P502" s="9">
        <f t="shared" si="6"/>
        <v>147.8</v>
      </c>
      <c r="Q502" s="9">
        <f t="shared" ref="Q502:R502" si="500">average(L496:L502)</f>
        <v>189.8857143</v>
      </c>
      <c r="R502" s="9">
        <f t="shared" si="500"/>
        <v>125.2237224</v>
      </c>
      <c r="S502" s="11">
        <v>55.32</v>
      </c>
      <c r="T502" s="11">
        <v>49.925000000000004</v>
      </c>
      <c r="U502" s="12">
        <v>7.63</v>
      </c>
      <c r="V502" s="12"/>
      <c r="W502" s="12">
        <v>11.0</v>
      </c>
      <c r="X502" s="8">
        <v>24395.0</v>
      </c>
      <c r="Y502" s="8">
        <v>2820.0</v>
      </c>
      <c r="Z502" s="8">
        <v>739.0</v>
      </c>
      <c r="AA502" s="8">
        <v>10.547</v>
      </c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 ht="15.75" customHeight="1">
      <c r="A503" s="6">
        <v>502.0</v>
      </c>
      <c r="B503" s="7">
        <v>49811.0</v>
      </c>
      <c r="C503" s="8">
        <v>123.8</v>
      </c>
      <c r="D503" s="8">
        <v>90.29</v>
      </c>
      <c r="E503" s="8">
        <v>83.02</v>
      </c>
      <c r="F503" s="8">
        <v>123.8</v>
      </c>
      <c r="G503" s="8">
        <v>90.29</v>
      </c>
      <c r="H503" s="8">
        <v>83.02</v>
      </c>
      <c r="I503" s="8">
        <v>39.0</v>
      </c>
      <c r="J503" s="8">
        <v>15.5</v>
      </c>
      <c r="K503" s="8">
        <v>83.6</v>
      </c>
      <c r="L503" s="9">
        <f t="shared" si="1"/>
        <v>286.6</v>
      </c>
      <c r="M503" s="9">
        <f t="shared" si="2"/>
        <v>190.6515048</v>
      </c>
      <c r="N503" s="9">
        <f t="shared" si="3"/>
        <v>271</v>
      </c>
      <c r="O503" s="9">
        <f t="shared" si="4"/>
        <v>217.8</v>
      </c>
      <c r="P503" s="9">
        <f t="shared" si="6"/>
        <v>165.6</v>
      </c>
      <c r="Q503" s="9">
        <f t="shared" ref="Q503:R503" si="501">average(L497:L503)</f>
        <v>209.7142857</v>
      </c>
      <c r="R503" s="9">
        <f t="shared" si="501"/>
        <v>139.5723244</v>
      </c>
      <c r="S503" s="11">
        <v>55.23</v>
      </c>
      <c r="T503" s="11">
        <v>50.209999999999994</v>
      </c>
      <c r="U503" s="12">
        <v>7.04</v>
      </c>
      <c r="V503" s="12"/>
      <c r="W503" s="12">
        <v>12.0</v>
      </c>
      <c r="X503" s="8">
        <v>25825.0</v>
      </c>
      <c r="Y503" s="8">
        <v>2450.0</v>
      </c>
      <c r="Z503" s="8">
        <v>1115.0</v>
      </c>
      <c r="AA503" s="8">
        <v>10.846</v>
      </c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 ht="15.75" customHeight="1">
      <c r="A504" s="6">
        <v>503.0</v>
      </c>
      <c r="B504" s="7">
        <v>49812.0</v>
      </c>
      <c r="C504" s="8">
        <v>123.3</v>
      </c>
      <c r="D504" s="8">
        <v>90.29</v>
      </c>
      <c r="E504" s="8">
        <v>83.02</v>
      </c>
      <c r="F504" s="8">
        <v>123.3</v>
      </c>
      <c r="G504" s="8">
        <v>90.29</v>
      </c>
      <c r="H504" s="8">
        <v>83.02</v>
      </c>
      <c r="I504" s="8">
        <v>42.0</v>
      </c>
      <c r="J504" s="8">
        <v>15.5</v>
      </c>
      <c r="K504" s="8">
        <v>83.6</v>
      </c>
      <c r="L504" s="9">
        <f t="shared" si="1"/>
        <v>288.6</v>
      </c>
      <c r="M504" s="9">
        <f t="shared" si="2"/>
        <v>190.2906572</v>
      </c>
      <c r="N504" s="9">
        <f t="shared" si="3"/>
        <v>286.6</v>
      </c>
      <c r="O504" s="9">
        <f t="shared" si="4"/>
        <v>271</v>
      </c>
      <c r="P504" s="9">
        <f t="shared" si="6"/>
        <v>137.6</v>
      </c>
      <c r="Q504" s="9">
        <f t="shared" ref="Q504:R504" si="502">average(L498:L504)</f>
        <v>227.2857143</v>
      </c>
      <c r="R504" s="9">
        <f t="shared" si="502"/>
        <v>151.7904182</v>
      </c>
      <c r="S504" s="11">
        <v>55.59</v>
      </c>
      <c r="T504" s="11">
        <v>50.199999999999996</v>
      </c>
      <c r="U504" s="12">
        <v>7.21</v>
      </c>
      <c r="V504" s="12"/>
      <c r="W504" s="12">
        <v>11.0</v>
      </c>
      <c r="X504" s="8">
        <v>27576.0</v>
      </c>
      <c r="Y504" s="8">
        <v>2528.0</v>
      </c>
      <c r="Z504" s="8">
        <v>1056.0</v>
      </c>
      <c r="AA504" s="8">
        <v>12.003</v>
      </c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 ht="15.75" customHeight="1">
      <c r="A505" s="6">
        <v>504.0</v>
      </c>
      <c r="B505" s="7">
        <v>49813.0</v>
      </c>
      <c r="C505" s="8">
        <v>82.4</v>
      </c>
      <c r="D505" s="8">
        <v>90.29</v>
      </c>
      <c r="E505" s="8">
        <v>83.02</v>
      </c>
      <c r="F505" s="8">
        <v>82.4</v>
      </c>
      <c r="G505" s="8">
        <v>90.29</v>
      </c>
      <c r="H505" s="8">
        <v>83.02</v>
      </c>
      <c r="I505" s="8">
        <v>40.0</v>
      </c>
      <c r="J505" s="8">
        <v>15.5</v>
      </c>
      <c r="K505" s="8">
        <v>83.6</v>
      </c>
      <c r="L505" s="9">
        <f t="shared" si="1"/>
        <v>204.8</v>
      </c>
      <c r="M505" s="9">
        <f t="shared" si="2"/>
        <v>128.7152332</v>
      </c>
      <c r="N505" s="9">
        <f t="shared" si="3"/>
        <v>288.6</v>
      </c>
      <c r="O505" s="9">
        <f t="shared" si="4"/>
        <v>286.6</v>
      </c>
      <c r="P505" s="9">
        <f t="shared" si="6"/>
        <v>187.2</v>
      </c>
      <c r="Q505" s="9">
        <f t="shared" ref="Q505:R505" si="503">average(L499:L505)</f>
        <v>236.8857143</v>
      </c>
      <c r="R505" s="9">
        <f t="shared" si="503"/>
        <v>157.2394296</v>
      </c>
      <c r="S505" s="11">
        <v>56.06</v>
      </c>
      <c r="T505" s="11">
        <v>50.4225</v>
      </c>
      <c r="U505" s="12">
        <v>6.53</v>
      </c>
      <c r="V505" s="12"/>
      <c r="W505" s="12">
        <v>14.0</v>
      </c>
      <c r="X505" s="8">
        <v>26401.0</v>
      </c>
      <c r="Y505" s="8">
        <v>2215.0</v>
      </c>
      <c r="Z505" s="8">
        <v>869.0</v>
      </c>
      <c r="AA505" s="8">
        <v>11.564</v>
      </c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 ht="15.75" customHeight="1">
      <c r="A506" s="6">
        <v>505.0</v>
      </c>
      <c r="B506" s="7">
        <v>49814.0</v>
      </c>
      <c r="C506" s="8">
        <v>115.4</v>
      </c>
      <c r="D506" s="8">
        <v>88.96</v>
      </c>
      <c r="E506" s="8">
        <v>83.77</v>
      </c>
      <c r="F506" s="8">
        <v>115.4</v>
      </c>
      <c r="G506" s="8">
        <v>88.96</v>
      </c>
      <c r="H506" s="8">
        <v>83.77</v>
      </c>
      <c r="I506" s="8">
        <v>37.0</v>
      </c>
      <c r="J506" s="8">
        <v>26.1</v>
      </c>
      <c r="K506" s="8">
        <v>82.6</v>
      </c>
      <c r="L506" s="9">
        <f t="shared" si="1"/>
        <v>267.8</v>
      </c>
      <c r="M506" s="9">
        <f t="shared" si="2"/>
        <v>179.9729779</v>
      </c>
      <c r="N506" s="9">
        <f t="shared" si="3"/>
        <v>204.8</v>
      </c>
      <c r="O506" s="9">
        <f t="shared" si="4"/>
        <v>288.6</v>
      </c>
      <c r="P506" s="9">
        <f t="shared" si="6"/>
        <v>202.2</v>
      </c>
      <c r="Q506" s="9">
        <f t="shared" ref="Q506:R506" si="504">average(L500:L506)</f>
        <v>248.4</v>
      </c>
      <c r="R506" s="9">
        <f t="shared" si="504"/>
        <v>165.3848029</v>
      </c>
      <c r="S506" s="11">
        <v>54.43</v>
      </c>
      <c r="T506" s="11">
        <v>50.9275</v>
      </c>
      <c r="U506" s="12">
        <v>5.87</v>
      </c>
      <c r="V506" s="12"/>
      <c r="W506" s="12">
        <v>13.0</v>
      </c>
      <c r="X506" s="8">
        <v>25229.0</v>
      </c>
      <c r="Y506" s="8">
        <v>2175.0</v>
      </c>
      <c r="Z506" s="8">
        <v>977.0</v>
      </c>
      <c r="AA506" s="8">
        <v>10.557</v>
      </c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 ht="15.75" customHeight="1">
      <c r="A507" s="6">
        <v>506.0</v>
      </c>
      <c r="B507" s="7">
        <v>49815.0</v>
      </c>
      <c r="C507" s="8">
        <v>116.0</v>
      </c>
      <c r="D507" s="8">
        <v>88.34</v>
      </c>
      <c r="E507" s="8">
        <v>81.46</v>
      </c>
      <c r="F507" s="8">
        <v>116.0</v>
      </c>
      <c r="G507" s="8">
        <v>88.34</v>
      </c>
      <c r="H507" s="8">
        <v>81.46</v>
      </c>
      <c r="I507" s="8">
        <v>0.0</v>
      </c>
      <c r="J507" s="8">
        <v>26.1</v>
      </c>
      <c r="K507" s="8">
        <v>82.6</v>
      </c>
      <c r="L507" s="9">
        <f t="shared" si="1"/>
        <v>232</v>
      </c>
      <c r="M507" s="9">
        <f t="shared" si="2"/>
        <v>166.9512925</v>
      </c>
      <c r="N507" s="9">
        <f t="shared" si="3"/>
        <v>267.8</v>
      </c>
      <c r="O507" s="9">
        <f t="shared" si="4"/>
        <v>204.8</v>
      </c>
      <c r="P507" s="9">
        <f t="shared" si="6"/>
        <v>217.8</v>
      </c>
      <c r="Q507" s="9">
        <f t="shared" ref="Q507:R507" si="505">average(L501:L507)</f>
        <v>252.6571429</v>
      </c>
      <c r="R507" s="9">
        <f t="shared" si="505"/>
        <v>168.8038498</v>
      </c>
      <c r="S507" s="11">
        <v>55.45</v>
      </c>
      <c r="T507" s="11">
        <v>51.28</v>
      </c>
      <c r="U507" s="12">
        <v>7.56</v>
      </c>
      <c r="V507" s="12"/>
      <c r="W507" s="12">
        <v>12.0</v>
      </c>
      <c r="X507" s="8">
        <v>26397.0</v>
      </c>
      <c r="Y507" s="8">
        <v>2338.0</v>
      </c>
      <c r="Z507" s="8">
        <v>925.0</v>
      </c>
      <c r="AA507" s="8">
        <v>11.074</v>
      </c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 ht="15.75" customHeight="1">
      <c r="A508" s="6">
        <v>507.0</v>
      </c>
      <c r="B508" s="7">
        <v>49816.0</v>
      </c>
      <c r="C508" s="8">
        <v>111.0</v>
      </c>
      <c r="D508" s="8">
        <v>89.62</v>
      </c>
      <c r="E508" s="8">
        <v>83.37</v>
      </c>
      <c r="F508" s="8">
        <v>111.0</v>
      </c>
      <c r="G508" s="8">
        <v>89.62</v>
      </c>
      <c r="H508" s="8">
        <v>83.37</v>
      </c>
      <c r="I508" s="8">
        <v>20.0</v>
      </c>
      <c r="J508" s="8">
        <v>25.7</v>
      </c>
      <c r="K508" s="8">
        <v>83.0</v>
      </c>
      <c r="L508" s="9">
        <f t="shared" si="1"/>
        <v>242</v>
      </c>
      <c r="M508" s="9">
        <f t="shared" si="2"/>
        <v>170.1361507</v>
      </c>
      <c r="N508" s="9">
        <f t="shared" si="3"/>
        <v>232</v>
      </c>
      <c r="O508" s="9">
        <f t="shared" si="4"/>
        <v>267.8</v>
      </c>
      <c r="P508" s="9">
        <f t="shared" si="6"/>
        <v>271</v>
      </c>
      <c r="Q508" s="9">
        <f t="shared" ref="Q508:R508" si="506">average(L502:L508)</f>
        <v>256.1142857</v>
      </c>
      <c r="R508" s="9">
        <f t="shared" si="506"/>
        <v>172.2353263</v>
      </c>
      <c r="S508" s="11">
        <v>55.26</v>
      </c>
      <c r="T508" s="11">
        <v>51.307500000000005</v>
      </c>
      <c r="U508" s="12">
        <v>5.69</v>
      </c>
      <c r="V508" s="12"/>
      <c r="W508" s="12">
        <v>14.0</v>
      </c>
      <c r="X508" s="8">
        <v>27884.0</v>
      </c>
      <c r="Y508" s="8">
        <v>2100.0</v>
      </c>
      <c r="Z508" s="8">
        <v>841.0</v>
      </c>
      <c r="AA508" s="8">
        <v>11.489</v>
      </c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 ht="15.75" customHeight="1">
      <c r="A509" s="6">
        <v>508.0</v>
      </c>
      <c r="B509" s="7">
        <v>49817.0</v>
      </c>
      <c r="C509" s="8">
        <v>95.4</v>
      </c>
      <c r="D509" s="8">
        <v>87.15</v>
      </c>
      <c r="E509" s="8">
        <v>80.91</v>
      </c>
      <c r="F509" s="8">
        <v>95.4</v>
      </c>
      <c r="G509" s="8">
        <v>87.15</v>
      </c>
      <c r="H509" s="8">
        <v>80.91</v>
      </c>
      <c r="I509" s="8">
        <v>30.0</v>
      </c>
      <c r="J509" s="8">
        <v>30.4</v>
      </c>
      <c r="K509" s="8">
        <v>85.7</v>
      </c>
      <c r="L509" s="9">
        <f t="shared" si="1"/>
        <v>220.8</v>
      </c>
      <c r="M509" s="9">
        <f t="shared" si="2"/>
        <v>142.354768</v>
      </c>
      <c r="N509" s="9">
        <f t="shared" si="3"/>
        <v>242</v>
      </c>
      <c r="O509" s="9">
        <f t="shared" si="4"/>
        <v>232</v>
      </c>
      <c r="P509" s="9">
        <f t="shared" si="6"/>
        <v>286.6</v>
      </c>
      <c r="Q509" s="9">
        <f t="shared" ref="Q509:R509" si="507">average(L503:L509)</f>
        <v>248.9428571</v>
      </c>
      <c r="R509" s="9">
        <f t="shared" si="507"/>
        <v>167.0103692</v>
      </c>
      <c r="S509" s="11">
        <v>54.78</v>
      </c>
      <c r="T509" s="11">
        <v>50.47</v>
      </c>
      <c r="U509" s="12">
        <v>5.28</v>
      </c>
      <c r="V509" s="12"/>
      <c r="W509" s="12">
        <v>15.0</v>
      </c>
      <c r="X509" s="8">
        <v>28516.0</v>
      </c>
      <c r="Y509" s="8">
        <v>2095.0</v>
      </c>
      <c r="Z509" s="8">
        <v>749.0</v>
      </c>
      <c r="AA509" s="8">
        <v>12.091</v>
      </c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 ht="15.75" customHeight="1">
      <c r="A510" s="6">
        <v>509.0</v>
      </c>
      <c r="B510" s="7">
        <v>49818.0</v>
      </c>
      <c r="C510" s="8">
        <v>84.4</v>
      </c>
      <c r="D510" s="8">
        <v>84.78</v>
      </c>
      <c r="E510" s="8">
        <v>83.59</v>
      </c>
      <c r="F510" s="8">
        <v>84.4</v>
      </c>
      <c r="G510" s="8">
        <v>84.78</v>
      </c>
      <c r="H510" s="8">
        <v>83.59</v>
      </c>
      <c r="I510" s="8">
        <v>0.0</v>
      </c>
      <c r="J510" s="8">
        <v>22.9</v>
      </c>
      <c r="K510" s="8">
        <v>78.9</v>
      </c>
      <c r="L510" s="9">
        <f t="shared" si="1"/>
        <v>168.8</v>
      </c>
      <c r="M510" s="9">
        <f t="shared" si="2"/>
        <v>119.6245122</v>
      </c>
      <c r="N510" s="9">
        <f t="shared" si="3"/>
        <v>220.8</v>
      </c>
      <c r="O510" s="9">
        <f t="shared" si="4"/>
        <v>242</v>
      </c>
      <c r="P510" s="9">
        <f t="shared" si="6"/>
        <v>288.6</v>
      </c>
      <c r="Q510" s="9">
        <f t="shared" ref="Q510:R510" si="508">average(L504:L510)</f>
        <v>232.1142857</v>
      </c>
      <c r="R510" s="9">
        <f t="shared" si="508"/>
        <v>156.863656</v>
      </c>
      <c r="S510" s="11">
        <v>55.74</v>
      </c>
      <c r="T510" s="11">
        <v>50.455</v>
      </c>
      <c r="U510" s="12">
        <v>7.46</v>
      </c>
      <c r="V510" s="12"/>
      <c r="W510" s="12">
        <v>12.0</v>
      </c>
      <c r="X510" s="8">
        <v>27229.0</v>
      </c>
      <c r="Y510" s="8">
        <v>2510.0</v>
      </c>
      <c r="Z510" s="8">
        <v>788.0</v>
      </c>
      <c r="AA510" s="8">
        <v>11.937</v>
      </c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 ht="15.75" customHeight="1">
      <c r="A511" s="6">
        <v>510.0</v>
      </c>
      <c r="B511" s="7">
        <v>49819.0</v>
      </c>
      <c r="C511" s="8">
        <v>105.5</v>
      </c>
      <c r="D511" s="8">
        <v>90.04</v>
      </c>
      <c r="E511" s="8">
        <v>80.31</v>
      </c>
      <c r="F511" s="8">
        <v>105.5</v>
      </c>
      <c r="G511" s="8">
        <v>90.04</v>
      </c>
      <c r="H511" s="8">
        <v>80.31</v>
      </c>
      <c r="I511" s="8">
        <v>20.0</v>
      </c>
      <c r="J511" s="8">
        <v>21.4</v>
      </c>
      <c r="K511" s="8">
        <v>83.7</v>
      </c>
      <c r="L511" s="9">
        <f t="shared" si="1"/>
        <v>231</v>
      </c>
      <c r="M511" s="9">
        <f t="shared" si="2"/>
        <v>156.1588316</v>
      </c>
      <c r="N511" s="9">
        <f t="shared" si="3"/>
        <v>168.8</v>
      </c>
      <c r="O511" s="9">
        <f t="shared" si="4"/>
        <v>220.8</v>
      </c>
      <c r="P511" s="9">
        <f t="shared" si="6"/>
        <v>204.8</v>
      </c>
      <c r="Q511" s="9">
        <f t="shared" ref="Q511:R511" si="509">average(L505:L511)</f>
        <v>223.8857143</v>
      </c>
      <c r="R511" s="9">
        <f t="shared" si="509"/>
        <v>151.9876809</v>
      </c>
      <c r="S511" s="11">
        <v>55.16</v>
      </c>
      <c r="T511" s="11">
        <v>51.152499999999996</v>
      </c>
      <c r="U511" s="12">
        <v>6.5</v>
      </c>
      <c r="V511" s="12"/>
      <c r="W511" s="12">
        <v>11.0</v>
      </c>
      <c r="X511" s="8">
        <v>26399.0</v>
      </c>
      <c r="Y511" s="8">
        <v>2560.0</v>
      </c>
      <c r="Z511" s="8">
        <v>801.0</v>
      </c>
      <c r="AA511" s="8">
        <v>11.446</v>
      </c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 ht="15.75" customHeight="1">
      <c r="A512" s="6">
        <v>511.0</v>
      </c>
      <c r="B512" s="7">
        <v>49820.0</v>
      </c>
      <c r="C512" s="8">
        <v>69.1</v>
      </c>
      <c r="D512" s="8">
        <v>85.97</v>
      </c>
      <c r="E512" s="8">
        <v>86.37</v>
      </c>
      <c r="F512" s="8">
        <v>69.1</v>
      </c>
      <c r="G512" s="8">
        <v>85.97</v>
      </c>
      <c r="H512" s="8">
        <v>86.37</v>
      </c>
      <c r="I512" s="8">
        <v>5.0</v>
      </c>
      <c r="J512" s="8">
        <v>25.7</v>
      </c>
      <c r="K512" s="8">
        <v>84.7</v>
      </c>
      <c r="L512" s="9">
        <f t="shared" si="1"/>
        <v>143.2</v>
      </c>
      <c r="M512" s="9">
        <f t="shared" si="2"/>
        <v>103.7050584</v>
      </c>
      <c r="N512" s="9">
        <f t="shared" si="3"/>
        <v>231</v>
      </c>
      <c r="O512" s="9">
        <f t="shared" si="4"/>
        <v>168.8</v>
      </c>
      <c r="P512" s="9">
        <f t="shared" si="6"/>
        <v>267.8</v>
      </c>
      <c r="Q512" s="9">
        <f t="shared" ref="Q512:R512" si="510">average(L506:L512)</f>
        <v>215.0857143</v>
      </c>
      <c r="R512" s="9">
        <f t="shared" si="510"/>
        <v>148.4147988</v>
      </c>
      <c r="S512" s="11">
        <v>53.44</v>
      </c>
      <c r="T512" s="11">
        <v>52.26500000000001</v>
      </c>
      <c r="U512" s="12">
        <v>1.8</v>
      </c>
      <c r="V512" s="12"/>
      <c r="W512" s="12">
        <v>74.0</v>
      </c>
      <c r="X512" s="8">
        <v>20369.0</v>
      </c>
      <c r="Y512" s="8">
        <v>1165.0</v>
      </c>
      <c r="Z512" s="8">
        <v>802.0</v>
      </c>
      <c r="AA512" s="8">
        <v>8.986</v>
      </c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 ht="15.75" customHeight="1">
      <c r="A513" s="6">
        <v>512.0</v>
      </c>
      <c r="B513" s="7">
        <v>49821.0</v>
      </c>
      <c r="C513" s="8">
        <v>82.2</v>
      </c>
      <c r="D513" s="8">
        <v>86.02</v>
      </c>
      <c r="E513" s="8">
        <v>82.84</v>
      </c>
      <c r="F513" s="8">
        <v>82.2</v>
      </c>
      <c r="G513" s="8">
        <v>86.02</v>
      </c>
      <c r="H513" s="8">
        <v>82.84</v>
      </c>
      <c r="I513" s="8">
        <v>20.0</v>
      </c>
      <c r="J513" s="8">
        <v>24.8</v>
      </c>
      <c r="K513" s="8">
        <v>81.5</v>
      </c>
      <c r="L513" s="9">
        <f t="shared" si="1"/>
        <v>184.4</v>
      </c>
      <c r="M513" s="9">
        <f t="shared" si="2"/>
        <v>121.1921434</v>
      </c>
      <c r="N513" s="9">
        <f t="shared" si="3"/>
        <v>143.2</v>
      </c>
      <c r="O513" s="9">
        <f t="shared" si="4"/>
        <v>231</v>
      </c>
      <c r="P513" s="9">
        <f t="shared" si="6"/>
        <v>232</v>
      </c>
      <c r="Q513" s="9">
        <f t="shared" ref="Q513:R513" si="511">average(L507:L513)</f>
        <v>203.1714286</v>
      </c>
      <c r="R513" s="9">
        <f t="shared" si="511"/>
        <v>140.0175367</v>
      </c>
      <c r="S513" s="11">
        <v>53.05</v>
      </c>
      <c r="T513" s="11">
        <v>51.792500000000004</v>
      </c>
      <c r="U513" s="12">
        <v>5.18</v>
      </c>
      <c r="V513" s="12"/>
      <c r="W513" s="12">
        <v>21.0</v>
      </c>
      <c r="X513" s="8">
        <v>23053.0</v>
      </c>
      <c r="Y513" s="8">
        <v>1820.0</v>
      </c>
      <c r="Z513" s="8">
        <v>985.0</v>
      </c>
      <c r="AA513" s="8">
        <v>10.004</v>
      </c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 ht="15.75" customHeight="1">
      <c r="A514" s="6">
        <v>513.0</v>
      </c>
      <c r="B514" s="7">
        <v>49822.0</v>
      </c>
      <c r="C514" s="8">
        <v>82.5</v>
      </c>
      <c r="D514" s="8">
        <v>85.64</v>
      </c>
      <c r="E514" s="8">
        <v>84.06</v>
      </c>
      <c r="F514" s="8">
        <v>82.5</v>
      </c>
      <c r="G514" s="8">
        <v>85.64</v>
      </c>
      <c r="H514" s="8">
        <v>84.06</v>
      </c>
      <c r="I514" s="8">
        <v>0.0</v>
      </c>
      <c r="J514" s="8">
        <v>25.5</v>
      </c>
      <c r="K514" s="8">
        <v>89.0</v>
      </c>
      <c r="L514" s="9">
        <f t="shared" si="1"/>
        <v>165</v>
      </c>
      <c r="M514" s="9">
        <f t="shared" si="2"/>
        <v>118.7818236</v>
      </c>
      <c r="N514" s="9">
        <f t="shared" si="3"/>
        <v>184.4</v>
      </c>
      <c r="O514" s="9">
        <f t="shared" si="4"/>
        <v>143.2</v>
      </c>
      <c r="P514" s="9">
        <f t="shared" si="6"/>
        <v>242</v>
      </c>
      <c r="Q514" s="9">
        <f t="shared" ref="Q514:R514" si="512">average(L508:L514)</f>
        <v>193.6</v>
      </c>
      <c r="R514" s="9">
        <f t="shared" si="512"/>
        <v>133.136184</v>
      </c>
      <c r="S514" s="11">
        <v>51.81</v>
      </c>
      <c r="T514" s="11">
        <v>51.685</v>
      </c>
      <c r="U514" s="12">
        <v>4.39</v>
      </c>
      <c r="V514" s="12"/>
      <c r="W514" s="12">
        <v>19.0</v>
      </c>
      <c r="X514" s="8">
        <v>21745.0</v>
      </c>
      <c r="Y514" s="8">
        <v>1670.0</v>
      </c>
      <c r="Z514" s="8">
        <v>898.0</v>
      </c>
      <c r="AA514" s="8">
        <v>9.518</v>
      </c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 ht="15.75" customHeight="1">
      <c r="A515" s="6">
        <v>514.0</v>
      </c>
      <c r="B515" s="7">
        <v>49823.0</v>
      </c>
      <c r="C515" s="8">
        <v>68.5</v>
      </c>
      <c r="D515" s="8">
        <v>85.63</v>
      </c>
      <c r="E515" s="8">
        <v>84.31</v>
      </c>
      <c r="F515" s="8">
        <v>68.5</v>
      </c>
      <c r="G515" s="8">
        <v>85.63</v>
      </c>
      <c r="H515" s="8">
        <v>84.31</v>
      </c>
      <c r="I515" s="8">
        <v>20.0</v>
      </c>
      <c r="J515" s="8">
        <v>21.8</v>
      </c>
      <c r="K515" s="8">
        <v>83.2</v>
      </c>
      <c r="L515" s="9">
        <f t="shared" si="1"/>
        <v>157</v>
      </c>
      <c r="M515" s="9">
        <f t="shared" si="2"/>
        <v>102.5341946</v>
      </c>
      <c r="N515" s="9">
        <f t="shared" si="3"/>
        <v>165</v>
      </c>
      <c r="O515" s="9">
        <f t="shared" si="4"/>
        <v>184.4</v>
      </c>
      <c r="P515" s="9">
        <f t="shared" si="6"/>
        <v>220.8</v>
      </c>
      <c r="Q515" s="9">
        <f t="shared" ref="Q515:R515" si="513">average(L509:L515)</f>
        <v>181.4571429</v>
      </c>
      <c r="R515" s="9">
        <f t="shared" si="513"/>
        <v>123.4787617</v>
      </c>
      <c r="S515" s="11">
        <v>52.8</v>
      </c>
      <c r="T515" s="11">
        <v>49.0775</v>
      </c>
      <c r="U515" s="12">
        <v>5.5</v>
      </c>
      <c r="V515" s="12"/>
      <c r="W515" s="12">
        <v>19.0</v>
      </c>
      <c r="X515" s="8">
        <v>21816.0</v>
      </c>
      <c r="Y515" s="8">
        <v>2330.0</v>
      </c>
      <c r="Z515" s="8">
        <v>921.0</v>
      </c>
      <c r="AA515" s="8">
        <v>9.238</v>
      </c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 ht="15.75" customHeight="1">
      <c r="A516" s="6">
        <v>515.0</v>
      </c>
      <c r="B516" s="7">
        <v>49824.0</v>
      </c>
      <c r="C516" s="8">
        <v>103.0</v>
      </c>
      <c r="D516" s="8">
        <v>90.56</v>
      </c>
      <c r="E516" s="8">
        <v>80.89</v>
      </c>
      <c r="F516" s="8">
        <v>103.0</v>
      </c>
      <c r="G516" s="8">
        <v>90.56</v>
      </c>
      <c r="H516" s="8">
        <v>80.89</v>
      </c>
      <c r="I516" s="8">
        <v>30.0</v>
      </c>
      <c r="J516" s="8">
        <v>20.6</v>
      </c>
      <c r="K516" s="8">
        <v>77.3</v>
      </c>
      <c r="L516" s="9">
        <f t="shared" si="1"/>
        <v>236</v>
      </c>
      <c r="M516" s="9">
        <f t="shared" si="2"/>
        <v>155.680347</v>
      </c>
      <c r="N516" s="9">
        <f t="shared" si="3"/>
        <v>157</v>
      </c>
      <c r="O516" s="9">
        <f t="shared" si="4"/>
        <v>165</v>
      </c>
      <c r="P516" s="9">
        <f t="shared" si="6"/>
        <v>168.8</v>
      </c>
      <c r="Q516" s="9">
        <f t="shared" ref="Q516:R516" si="514">average(L510:L516)</f>
        <v>183.6285714</v>
      </c>
      <c r="R516" s="9">
        <f t="shared" si="514"/>
        <v>125.3824158</v>
      </c>
      <c r="S516" s="11">
        <v>54.41</v>
      </c>
      <c r="T516" s="11">
        <v>51.790000000000006</v>
      </c>
      <c r="U516" s="12">
        <v>5.8</v>
      </c>
      <c r="V516" s="12"/>
      <c r="W516" s="12">
        <v>17.0</v>
      </c>
      <c r="X516" s="8">
        <v>23086.0</v>
      </c>
      <c r="Y516" s="8">
        <v>2435.0</v>
      </c>
      <c r="Z516" s="8">
        <v>888.0</v>
      </c>
      <c r="AA516" s="8">
        <v>9.598</v>
      </c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 ht="15.75" customHeight="1">
      <c r="A517" s="6">
        <v>516.0</v>
      </c>
      <c r="B517" s="7">
        <v>49825.0</v>
      </c>
      <c r="C517" s="8">
        <v>115.6</v>
      </c>
      <c r="D517" s="8">
        <v>90.98</v>
      </c>
      <c r="E517" s="8">
        <v>80.89</v>
      </c>
      <c r="F517" s="8">
        <v>115.6</v>
      </c>
      <c r="G517" s="8">
        <v>90.98</v>
      </c>
      <c r="H517" s="8">
        <v>80.89</v>
      </c>
      <c r="I517" s="8">
        <v>50.0</v>
      </c>
      <c r="J517" s="8">
        <v>23.5</v>
      </c>
      <c r="K517" s="8">
        <v>83.1</v>
      </c>
      <c r="L517" s="9">
        <f t="shared" si="1"/>
        <v>281.2</v>
      </c>
      <c r="M517" s="9">
        <f t="shared" si="2"/>
        <v>179.9129353</v>
      </c>
      <c r="N517" s="9">
        <f t="shared" si="3"/>
        <v>236</v>
      </c>
      <c r="O517" s="9">
        <f t="shared" si="4"/>
        <v>157</v>
      </c>
      <c r="P517" s="9">
        <f t="shared" si="6"/>
        <v>231</v>
      </c>
      <c r="Q517" s="9">
        <f t="shared" ref="Q517:R517" si="515">average(L511:L517)</f>
        <v>199.6857143</v>
      </c>
      <c r="R517" s="9">
        <f t="shared" si="515"/>
        <v>133.9950477</v>
      </c>
      <c r="S517" s="11">
        <v>53.5</v>
      </c>
      <c r="T517" s="11">
        <v>51.739999999999995</v>
      </c>
      <c r="U517" s="12">
        <v>5.66</v>
      </c>
      <c r="V517" s="12"/>
      <c r="W517" s="12">
        <v>14.0</v>
      </c>
      <c r="X517" s="8">
        <v>24420.0</v>
      </c>
      <c r="Y517" s="8">
        <v>2303.0</v>
      </c>
      <c r="Z517" s="8">
        <v>983.0</v>
      </c>
      <c r="AA517" s="8">
        <v>9.697</v>
      </c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 ht="15.75" customHeight="1">
      <c r="A518" s="6">
        <v>517.0</v>
      </c>
      <c r="B518" s="7">
        <v>49826.0</v>
      </c>
      <c r="C518" s="8">
        <v>115.8</v>
      </c>
      <c r="D518" s="8">
        <v>94.22</v>
      </c>
      <c r="E518" s="8">
        <v>82.1</v>
      </c>
      <c r="F518" s="8">
        <v>115.8</v>
      </c>
      <c r="G518" s="8">
        <v>94.22</v>
      </c>
      <c r="H518" s="8">
        <v>82.1</v>
      </c>
      <c r="I518" s="8">
        <v>51.0</v>
      </c>
      <c r="J518" s="8">
        <v>22.6</v>
      </c>
      <c r="K518" s="8">
        <v>83.1</v>
      </c>
      <c r="L518" s="9">
        <f t="shared" si="1"/>
        <v>282.6</v>
      </c>
      <c r="M518" s="9">
        <f t="shared" si="2"/>
        <v>188.7314059</v>
      </c>
      <c r="N518" s="9">
        <f t="shared" si="3"/>
        <v>281.2</v>
      </c>
      <c r="O518" s="9">
        <f t="shared" si="4"/>
        <v>236</v>
      </c>
      <c r="P518" s="9">
        <f t="shared" si="6"/>
        <v>143.2</v>
      </c>
      <c r="Q518" s="9">
        <f t="shared" ref="Q518:R518" si="516">average(L512:L518)</f>
        <v>207.0571429</v>
      </c>
      <c r="R518" s="9">
        <f t="shared" si="516"/>
        <v>138.6482726</v>
      </c>
      <c r="S518" s="11">
        <v>52.93</v>
      </c>
      <c r="T518" s="11">
        <v>51.845</v>
      </c>
      <c r="U518" s="12">
        <v>6.34</v>
      </c>
      <c r="V518" s="12"/>
      <c r="W518" s="12">
        <v>12.0</v>
      </c>
      <c r="X518" s="8">
        <v>26448.0</v>
      </c>
      <c r="Y518" s="8">
        <v>2460.0</v>
      </c>
      <c r="Z518" s="8">
        <v>1037.0</v>
      </c>
      <c r="AA518" s="8">
        <v>11.411</v>
      </c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 ht="15.75" customHeight="1">
      <c r="A519" s="6">
        <v>518.0</v>
      </c>
      <c r="B519" s="7">
        <v>49827.0</v>
      </c>
      <c r="C519" s="8">
        <v>115.4</v>
      </c>
      <c r="D519" s="8">
        <v>91.94</v>
      </c>
      <c r="E519" s="8">
        <v>79.77</v>
      </c>
      <c r="F519" s="8">
        <v>115.4</v>
      </c>
      <c r="G519" s="8">
        <v>91.94</v>
      </c>
      <c r="H519" s="8">
        <v>79.77</v>
      </c>
      <c r="I519" s="8">
        <v>50.0</v>
      </c>
      <c r="J519" s="8">
        <v>25.0</v>
      </c>
      <c r="K519" s="8">
        <v>79.7</v>
      </c>
      <c r="L519" s="9">
        <f t="shared" si="1"/>
        <v>280.8</v>
      </c>
      <c r="M519" s="9">
        <f t="shared" si="2"/>
        <v>179.2324617</v>
      </c>
      <c r="N519" s="9">
        <f t="shared" si="3"/>
        <v>282.6</v>
      </c>
      <c r="O519" s="9">
        <f t="shared" si="4"/>
        <v>281.2</v>
      </c>
      <c r="P519" s="9">
        <f t="shared" si="6"/>
        <v>184.4</v>
      </c>
      <c r="Q519" s="9">
        <f t="shared" ref="Q519:R519" si="517">average(L513:L519)</f>
        <v>226.7142857</v>
      </c>
      <c r="R519" s="9">
        <f t="shared" si="517"/>
        <v>149.4379016</v>
      </c>
      <c r="S519" s="11">
        <v>52.63</v>
      </c>
      <c r="T519" s="11">
        <v>52.055</v>
      </c>
      <c r="U519" s="12">
        <v>6.88</v>
      </c>
      <c r="V519" s="12"/>
      <c r="W519" s="12">
        <v>15.0</v>
      </c>
      <c r="X519" s="8">
        <v>26313.0</v>
      </c>
      <c r="Y519" s="8">
        <v>2419.0</v>
      </c>
      <c r="Z519" s="8">
        <v>1000.0</v>
      </c>
      <c r="AA519" s="8">
        <v>11.146</v>
      </c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 ht="15.75" customHeight="1">
      <c r="A520" s="6">
        <v>519.0</v>
      </c>
      <c r="B520" s="7">
        <v>49828.0</v>
      </c>
      <c r="C520" s="8">
        <v>67.1</v>
      </c>
      <c r="D520" s="8">
        <v>90.84</v>
      </c>
      <c r="E520" s="8">
        <v>82.84</v>
      </c>
      <c r="F520" s="8">
        <v>67.1</v>
      </c>
      <c r="G520" s="8">
        <v>90.84</v>
      </c>
      <c r="H520" s="8">
        <v>82.84</v>
      </c>
      <c r="I520" s="8">
        <v>30.0</v>
      </c>
      <c r="J520" s="8">
        <v>23.4</v>
      </c>
      <c r="K520" s="8">
        <v>81.1</v>
      </c>
      <c r="L520" s="9">
        <f t="shared" si="1"/>
        <v>164.2</v>
      </c>
      <c r="M520" s="9">
        <f t="shared" si="2"/>
        <v>106.6812108</v>
      </c>
      <c r="N520" s="9">
        <f t="shared" si="3"/>
        <v>280.8</v>
      </c>
      <c r="O520" s="9">
        <f t="shared" si="4"/>
        <v>282.6</v>
      </c>
      <c r="P520" s="9">
        <f t="shared" si="6"/>
        <v>165</v>
      </c>
      <c r="Q520" s="9">
        <f t="shared" ref="Q520:R520" si="518">average(L514:L520)</f>
        <v>223.8285714</v>
      </c>
      <c r="R520" s="9">
        <f t="shared" si="518"/>
        <v>147.3649113</v>
      </c>
      <c r="S520" s="11">
        <v>52.23</v>
      </c>
      <c r="T520" s="11">
        <v>51.6725</v>
      </c>
      <c r="U520" s="12">
        <v>5.87</v>
      </c>
      <c r="V520" s="12"/>
      <c r="W520" s="12">
        <v>15.0</v>
      </c>
      <c r="X520" s="8">
        <v>25703.0</v>
      </c>
      <c r="Y520" s="8">
        <v>1965.0</v>
      </c>
      <c r="Z520" s="8">
        <v>1034.0</v>
      </c>
      <c r="AA520" s="8">
        <v>11.139</v>
      </c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 ht="15.75" customHeight="1">
      <c r="A521" s="6">
        <v>520.0</v>
      </c>
      <c r="B521" s="7">
        <v>49829.0</v>
      </c>
      <c r="C521" s="8">
        <v>68.0</v>
      </c>
      <c r="D521" s="8">
        <v>89.74</v>
      </c>
      <c r="E521" s="8">
        <v>82.58</v>
      </c>
      <c r="F521" s="8">
        <v>68.0</v>
      </c>
      <c r="G521" s="8">
        <v>89.74</v>
      </c>
      <c r="H521" s="8">
        <v>82.58</v>
      </c>
      <c r="I521" s="8">
        <v>60.0</v>
      </c>
      <c r="J521" s="8">
        <v>25.6</v>
      </c>
      <c r="K521" s="8">
        <v>82.8</v>
      </c>
      <c r="L521" s="9">
        <f t="shared" si="1"/>
        <v>196</v>
      </c>
      <c r="M521" s="9">
        <f t="shared" si="2"/>
        <v>113.5039971</v>
      </c>
      <c r="N521" s="9">
        <f t="shared" si="3"/>
        <v>164.2</v>
      </c>
      <c r="O521" s="9">
        <f t="shared" si="4"/>
        <v>280.8</v>
      </c>
      <c r="P521" s="9">
        <f t="shared" si="6"/>
        <v>157</v>
      </c>
      <c r="Q521" s="9">
        <f t="shared" ref="Q521:R521" si="519">average(L515:L521)</f>
        <v>228.2571429</v>
      </c>
      <c r="R521" s="9">
        <f t="shared" si="519"/>
        <v>146.6109361</v>
      </c>
      <c r="S521" s="11">
        <v>53.1</v>
      </c>
      <c r="T521" s="11">
        <v>52.065</v>
      </c>
      <c r="U521" s="12">
        <v>6.11</v>
      </c>
      <c r="V521" s="12"/>
      <c r="W521" s="12">
        <v>14.0</v>
      </c>
      <c r="X521" s="8">
        <v>23861.0</v>
      </c>
      <c r="Y521" s="8">
        <v>2150.0</v>
      </c>
      <c r="Z521" s="8">
        <v>1073.0</v>
      </c>
      <c r="AA521" s="8">
        <v>10.603</v>
      </c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 ht="15.75" customHeight="1">
      <c r="A522" s="6">
        <v>521.0</v>
      </c>
      <c r="B522" s="7">
        <v>49830.0</v>
      </c>
      <c r="C522" s="8">
        <v>69.3</v>
      </c>
      <c r="D522" s="8">
        <v>90.05</v>
      </c>
      <c r="E522" s="8">
        <v>83.56</v>
      </c>
      <c r="F522" s="8">
        <v>69.3</v>
      </c>
      <c r="G522" s="8">
        <v>90.05</v>
      </c>
      <c r="H522" s="8">
        <v>83.56</v>
      </c>
      <c r="I522" s="8">
        <v>60.0</v>
      </c>
      <c r="J522" s="8">
        <v>21.1</v>
      </c>
      <c r="K522" s="8">
        <v>81.2</v>
      </c>
      <c r="L522" s="9">
        <f t="shared" si="1"/>
        <v>198.6</v>
      </c>
      <c r="M522" s="9">
        <f t="shared" si="2"/>
        <v>114.5705711</v>
      </c>
      <c r="N522" s="9">
        <f t="shared" si="3"/>
        <v>196</v>
      </c>
      <c r="O522" s="9">
        <f t="shared" si="4"/>
        <v>164.2</v>
      </c>
      <c r="P522" s="9">
        <f t="shared" si="6"/>
        <v>236</v>
      </c>
      <c r="Q522" s="9">
        <f t="shared" ref="Q522:R522" si="520">average(L516:L522)</f>
        <v>234.2</v>
      </c>
      <c r="R522" s="9">
        <f t="shared" si="520"/>
        <v>148.3304184</v>
      </c>
      <c r="S522" s="11">
        <v>53.39</v>
      </c>
      <c r="T522" s="11">
        <v>52.03</v>
      </c>
      <c r="U522" s="12">
        <v>3.49</v>
      </c>
      <c r="V522" s="12"/>
      <c r="W522" s="12">
        <v>16.0</v>
      </c>
      <c r="X522" s="8">
        <v>21589.0</v>
      </c>
      <c r="Y522" s="8">
        <v>1440.0</v>
      </c>
      <c r="Z522" s="8">
        <v>1099.0</v>
      </c>
      <c r="AA522" s="8">
        <v>8.652</v>
      </c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 ht="15.75" customHeight="1">
      <c r="A523" s="6">
        <v>522.0</v>
      </c>
      <c r="B523" s="7">
        <v>49831.0</v>
      </c>
      <c r="C523" s="8">
        <v>108.8</v>
      </c>
      <c r="D523" s="8">
        <v>92.22</v>
      </c>
      <c r="E523" s="8">
        <v>81.19</v>
      </c>
      <c r="F523" s="8">
        <v>108.8</v>
      </c>
      <c r="G523" s="8">
        <v>92.22</v>
      </c>
      <c r="H523" s="8">
        <v>81.19</v>
      </c>
      <c r="I523" s="8">
        <v>60.0</v>
      </c>
      <c r="J523" s="8">
        <v>19.3</v>
      </c>
      <c r="K523" s="8">
        <v>81.3</v>
      </c>
      <c r="L523" s="9">
        <f t="shared" si="1"/>
        <v>277.6</v>
      </c>
      <c r="M523" s="9">
        <f t="shared" si="2"/>
        <v>172.3390976</v>
      </c>
      <c r="N523" s="9">
        <f t="shared" si="3"/>
        <v>198.6</v>
      </c>
      <c r="O523" s="9">
        <f t="shared" si="4"/>
        <v>196</v>
      </c>
      <c r="P523" s="9">
        <f t="shared" si="6"/>
        <v>281.2</v>
      </c>
      <c r="Q523" s="9">
        <f t="shared" ref="Q523:R523" si="521">average(L517:L523)</f>
        <v>240.1428571</v>
      </c>
      <c r="R523" s="9">
        <f t="shared" si="521"/>
        <v>150.7102399</v>
      </c>
      <c r="S523" s="11">
        <v>56.17</v>
      </c>
      <c r="T523" s="11">
        <v>52.415000000000006</v>
      </c>
      <c r="U523" s="12">
        <v>5.05</v>
      </c>
      <c r="V523" s="12"/>
      <c r="W523" s="12">
        <v>14.0</v>
      </c>
      <c r="X523" s="8">
        <v>22979.0</v>
      </c>
      <c r="Y523" s="8">
        <v>2010.0</v>
      </c>
      <c r="Z523" s="8">
        <v>1198.0</v>
      </c>
      <c r="AA523" s="8">
        <v>9.431</v>
      </c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 ht="15.75" customHeight="1">
      <c r="A524" s="6">
        <v>523.0</v>
      </c>
      <c r="B524" s="7">
        <v>49832.0</v>
      </c>
      <c r="C524" s="8">
        <v>67.6</v>
      </c>
      <c r="D524" s="8">
        <v>92.77</v>
      </c>
      <c r="E524" s="8">
        <v>83.69</v>
      </c>
      <c r="F524" s="8">
        <v>67.6</v>
      </c>
      <c r="G524" s="8">
        <v>92.77</v>
      </c>
      <c r="H524" s="8">
        <v>83.69</v>
      </c>
      <c r="I524" s="8">
        <v>60.0</v>
      </c>
      <c r="J524" s="8">
        <v>22.2</v>
      </c>
      <c r="K524" s="8">
        <v>81.3</v>
      </c>
      <c r="L524" s="9">
        <f t="shared" si="1"/>
        <v>195.2</v>
      </c>
      <c r="M524" s="9">
        <f t="shared" si="2"/>
        <v>115.797376</v>
      </c>
      <c r="N524" s="9">
        <f t="shared" si="3"/>
        <v>277.6</v>
      </c>
      <c r="O524" s="9">
        <f t="shared" si="4"/>
        <v>198.6</v>
      </c>
      <c r="P524" s="9">
        <f t="shared" si="6"/>
        <v>282.6</v>
      </c>
      <c r="Q524" s="9">
        <f t="shared" ref="Q524:R524" si="522">average(L518:L524)</f>
        <v>227.8571429</v>
      </c>
      <c r="R524" s="9">
        <f t="shared" si="522"/>
        <v>141.5508743</v>
      </c>
      <c r="S524" s="11">
        <v>55.94</v>
      </c>
      <c r="T524" s="11">
        <v>52.3475</v>
      </c>
      <c r="U524" s="12">
        <v>5.44</v>
      </c>
      <c r="V524" s="12"/>
      <c r="W524" s="12">
        <v>14.0</v>
      </c>
      <c r="X524" s="8">
        <v>23471.0</v>
      </c>
      <c r="Y524" s="8">
        <v>1954.0</v>
      </c>
      <c r="Z524" s="8">
        <v>1238.0</v>
      </c>
      <c r="AA524" s="8">
        <v>9.149</v>
      </c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 ht="15.75" customHeight="1">
      <c r="A525" s="6">
        <v>524.0</v>
      </c>
      <c r="B525" s="7">
        <v>49833.0</v>
      </c>
      <c r="C525" s="8">
        <v>78.2</v>
      </c>
      <c r="D525" s="8">
        <v>91.09</v>
      </c>
      <c r="E525" s="8">
        <v>81.29</v>
      </c>
      <c r="F525" s="8">
        <v>78.2</v>
      </c>
      <c r="G525" s="8">
        <v>91.09</v>
      </c>
      <c r="H525" s="8">
        <v>81.29</v>
      </c>
      <c r="I525" s="8">
        <v>60.0</v>
      </c>
      <c r="J525" s="8">
        <v>19.8</v>
      </c>
      <c r="K525" s="8">
        <v>81.6</v>
      </c>
      <c r="L525" s="9">
        <f t="shared" si="1"/>
        <v>216.4</v>
      </c>
      <c r="M525" s="9">
        <f t="shared" si="2"/>
        <v>125.5036834</v>
      </c>
      <c r="N525" s="9">
        <f t="shared" si="3"/>
        <v>195.2</v>
      </c>
      <c r="O525" s="9">
        <f t="shared" si="4"/>
        <v>277.6</v>
      </c>
      <c r="P525" s="9">
        <f t="shared" si="6"/>
        <v>280.8</v>
      </c>
      <c r="Q525" s="9">
        <f t="shared" ref="Q525:R525" si="523">average(L519:L525)</f>
        <v>218.4</v>
      </c>
      <c r="R525" s="9">
        <f t="shared" si="523"/>
        <v>132.5183425</v>
      </c>
      <c r="S525" s="11">
        <v>55.22</v>
      </c>
      <c r="T525" s="11">
        <v>52.292500000000004</v>
      </c>
      <c r="U525" s="12">
        <v>4.81</v>
      </c>
      <c r="V525" s="12"/>
      <c r="W525" s="12">
        <v>16.0</v>
      </c>
      <c r="X525" s="8">
        <v>15180.1</v>
      </c>
      <c r="Y525" s="8">
        <v>1945.0</v>
      </c>
      <c r="Z525" s="8">
        <v>1028.0</v>
      </c>
      <c r="AA525" s="8">
        <v>9.65</v>
      </c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 ht="15.75" customHeight="1">
      <c r="A526" s="6">
        <v>525.0</v>
      </c>
      <c r="B526" s="7">
        <v>49834.0</v>
      </c>
      <c r="C526" s="8">
        <v>111.0</v>
      </c>
      <c r="D526" s="8">
        <v>91.36</v>
      </c>
      <c r="E526" s="8">
        <v>85.2</v>
      </c>
      <c r="F526" s="8">
        <v>111.0</v>
      </c>
      <c r="G526" s="8">
        <v>91.36</v>
      </c>
      <c r="H526" s="8">
        <v>85.2</v>
      </c>
      <c r="I526" s="8">
        <v>45.0</v>
      </c>
      <c r="J526" s="8">
        <v>20.8</v>
      </c>
      <c r="K526" s="8">
        <v>81.0</v>
      </c>
      <c r="L526" s="9">
        <f t="shared" si="1"/>
        <v>267</v>
      </c>
      <c r="M526" s="9">
        <f t="shared" si="2"/>
        <v>180.3835584</v>
      </c>
      <c r="N526" s="9">
        <f t="shared" si="3"/>
        <v>216.4</v>
      </c>
      <c r="O526" s="9">
        <f t="shared" si="4"/>
        <v>195.2</v>
      </c>
      <c r="P526" s="9">
        <f t="shared" si="6"/>
        <v>164.2</v>
      </c>
      <c r="Q526" s="9">
        <f t="shared" ref="Q526:R526" si="524">average(L520:L526)</f>
        <v>216.4285714</v>
      </c>
      <c r="R526" s="9">
        <f t="shared" si="524"/>
        <v>132.6827849</v>
      </c>
      <c r="S526" s="11">
        <v>54.18</v>
      </c>
      <c r="T526" s="11">
        <v>51.805</v>
      </c>
      <c r="U526" s="12">
        <v>5.95</v>
      </c>
      <c r="V526" s="12"/>
      <c r="W526" s="12">
        <v>13.0</v>
      </c>
      <c r="X526" s="8">
        <v>22623.0</v>
      </c>
      <c r="Y526" s="8">
        <v>2135.0</v>
      </c>
      <c r="Z526" s="8">
        <v>1094.0</v>
      </c>
      <c r="AA526" s="8">
        <v>9.234</v>
      </c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 ht="15.75" customHeight="1">
      <c r="A527" s="6">
        <v>526.0</v>
      </c>
      <c r="B527" s="7">
        <v>49835.0</v>
      </c>
      <c r="C527" s="8">
        <v>77.5</v>
      </c>
      <c r="D527" s="8">
        <v>89.56</v>
      </c>
      <c r="E527" s="8">
        <v>82.01</v>
      </c>
      <c r="F527" s="8">
        <v>77.5</v>
      </c>
      <c r="G527" s="8">
        <v>89.56</v>
      </c>
      <c r="H527" s="8">
        <v>82.01</v>
      </c>
      <c r="I527" s="8">
        <v>60.0</v>
      </c>
      <c r="J527" s="8">
        <v>21.2</v>
      </c>
      <c r="K527" s="8">
        <v>80.7</v>
      </c>
      <c r="L527" s="9">
        <f t="shared" si="1"/>
        <v>215</v>
      </c>
      <c r="M527" s="9">
        <f t="shared" si="2"/>
        <v>124.1096818</v>
      </c>
      <c r="N527" s="9">
        <f t="shared" si="3"/>
        <v>267</v>
      </c>
      <c r="O527" s="9">
        <f t="shared" si="4"/>
        <v>216.4</v>
      </c>
      <c r="P527" s="9">
        <f t="shared" si="6"/>
        <v>196</v>
      </c>
      <c r="Q527" s="9">
        <f t="shared" ref="Q527:R527" si="525">average(L521:L527)</f>
        <v>223.6857143</v>
      </c>
      <c r="R527" s="9">
        <f t="shared" si="525"/>
        <v>135.1725665</v>
      </c>
      <c r="S527" s="11">
        <v>55.94</v>
      </c>
      <c r="T527" s="11">
        <v>52.165</v>
      </c>
      <c r="U527" s="12">
        <v>5.33</v>
      </c>
      <c r="V527" s="12"/>
      <c r="W527" s="12">
        <v>14.0</v>
      </c>
      <c r="X527" s="8">
        <v>22974.0</v>
      </c>
      <c r="Y527" s="8">
        <v>2090.0</v>
      </c>
      <c r="Z527" s="8">
        <v>1039.0</v>
      </c>
      <c r="AA527" s="8">
        <v>9.345</v>
      </c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 ht="15.75" customHeight="1">
      <c r="A528" s="6">
        <v>527.0</v>
      </c>
      <c r="B528" s="7">
        <v>49836.0</v>
      </c>
      <c r="C528" s="8">
        <v>107.5</v>
      </c>
      <c r="D528" s="8">
        <v>88.86</v>
      </c>
      <c r="E528" s="8">
        <v>83.14</v>
      </c>
      <c r="F528" s="8">
        <v>107.5</v>
      </c>
      <c r="G528" s="8">
        <v>88.86</v>
      </c>
      <c r="H528" s="8">
        <v>83.14</v>
      </c>
      <c r="I528" s="8">
        <v>40.0</v>
      </c>
      <c r="J528" s="8">
        <v>20.7</v>
      </c>
      <c r="K528" s="8">
        <v>80.6</v>
      </c>
      <c r="L528" s="9">
        <f t="shared" si="1"/>
        <v>255</v>
      </c>
      <c r="M528" s="9">
        <f t="shared" si="2"/>
        <v>165.5118186</v>
      </c>
      <c r="N528" s="9">
        <f t="shared" si="3"/>
        <v>215</v>
      </c>
      <c r="O528" s="9">
        <f t="shared" si="4"/>
        <v>267</v>
      </c>
      <c r="P528" s="9">
        <f t="shared" si="6"/>
        <v>198.6</v>
      </c>
      <c r="Q528" s="9">
        <f t="shared" ref="Q528:R528" si="526">average(L522:L528)</f>
        <v>232.1142857</v>
      </c>
      <c r="R528" s="9">
        <f t="shared" si="526"/>
        <v>142.6022553</v>
      </c>
      <c r="S528" s="11">
        <v>55.64</v>
      </c>
      <c r="T528" s="11">
        <v>52.405</v>
      </c>
      <c r="U528" s="12">
        <v>5.15</v>
      </c>
      <c r="V528" s="12"/>
      <c r="W528" s="12">
        <v>16.0</v>
      </c>
      <c r="X528" s="8">
        <v>23220.0</v>
      </c>
      <c r="Y528" s="8">
        <v>1975.0</v>
      </c>
      <c r="Z528" s="8">
        <v>1043.0</v>
      </c>
      <c r="AA528" s="8">
        <v>9.588</v>
      </c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 ht="15.75" customHeight="1">
      <c r="A529" s="6">
        <v>528.0</v>
      </c>
      <c r="B529" s="7">
        <v>49837.0</v>
      </c>
      <c r="C529" s="8">
        <v>104.8</v>
      </c>
      <c r="D529" s="8">
        <v>86.52</v>
      </c>
      <c r="E529" s="8">
        <v>84.4</v>
      </c>
      <c r="F529" s="8">
        <v>104.8</v>
      </c>
      <c r="G529" s="8">
        <v>86.52</v>
      </c>
      <c r="H529" s="8">
        <v>84.4</v>
      </c>
      <c r="I529" s="8">
        <v>60.0</v>
      </c>
      <c r="J529" s="8">
        <v>19.0</v>
      </c>
      <c r="K529" s="8">
        <v>82.2</v>
      </c>
      <c r="L529" s="9">
        <f t="shared" si="1"/>
        <v>269.6</v>
      </c>
      <c r="M529" s="9">
        <f t="shared" si="2"/>
        <v>162.4267565</v>
      </c>
      <c r="N529" s="9">
        <f t="shared" si="3"/>
        <v>255</v>
      </c>
      <c r="O529" s="9">
        <f t="shared" si="4"/>
        <v>215</v>
      </c>
      <c r="P529" s="9">
        <f t="shared" si="6"/>
        <v>277.6</v>
      </c>
      <c r="Q529" s="9">
        <f t="shared" ref="Q529:R529" si="527">average(L523:L529)</f>
        <v>242.2571429</v>
      </c>
      <c r="R529" s="9">
        <f t="shared" si="527"/>
        <v>149.4388532</v>
      </c>
      <c r="S529" s="11">
        <v>56.3</v>
      </c>
      <c r="T529" s="11">
        <v>52.49499999999999</v>
      </c>
      <c r="U529" s="12">
        <v>6.53</v>
      </c>
      <c r="V529" s="12"/>
      <c r="W529" s="12">
        <v>14.0</v>
      </c>
      <c r="X529" s="8">
        <v>24020.0</v>
      </c>
      <c r="Y529" s="8">
        <v>2165.0</v>
      </c>
      <c r="Z529" s="8">
        <v>1041.0</v>
      </c>
      <c r="AA529" s="8">
        <v>10.136</v>
      </c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 ht="15.75" customHeight="1">
      <c r="A530" s="6">
        <v>529.0</v>
      </c>
      <c r="B530" s="7">
        <v>49838.0</v>
      </c>
      <c r="C530" s="8">
        <v>108.7</v>
      </c>
      <c r="D530" s="8">
        <v>90.66</v>
      </c>
      <c r="E530" s="8">
        <v>87.52</v>
      </c>
      <c r="F530" s="8">
        <v>108.7</v>
      </c>
      <c r="G530" s="8">
        <v>90.66</v>
      </c>
      <c r="H530" s="8">
        <v>87.52</v>
      </c>
      <c r="I530" s="8">
        <v>35.0</v>
      </c>
      <c r="J530" s="8">
        <v>19.0</v>
      </c>
      <c r="K530" s="8">
        <v>83.0</v>
      </c>
      <c r="L530" s="9">
        <f t="shared" si="1"/>
        <v>252.4</v>
      </c>
      <c r="M530" s="9">
        <f t="shared" si="2"/>
        <v>178.016904</v>
      </c>
      <c r="N530" s="9">
        <f t="shared" si="3"/>
        <v>269.6</v>
      </c>
      <c r="O530" s="9">
        <f t="shared" si="4"/>
        <v>255</v>
      </c>
      <c r="P530" s="9">
        <f t="shared" si="6"/>
        <v>195.2</v>
      </c>
      <c r="Q530" s="9">
        <f t="shared" ref="Q530:R530" si="528">average(L524:L530)</f>
        <v>238.6571429</v>
      </c>
      <c r="R530" s="9">
        <f t="shared" si="528"/>
        <v>150.2499684</v>
      </c>
      <c r="S530" s="11">
        <v>54.94</v>
      </c>
      <c r="T530" s="11">
        <v>52.120000000000005</v>
      </c>
      <c r="U530" s="12">
        <v>5.12</v>
      </c>
      <c r="V530" s="12"/>
      <c r="W530" s="12">
        <v>21.0</v>
      </c>
      <c r="X530" s="8">
        <v>25357.0</v>
      </c>
      <c r="Y530" s="8">
        <v>1715.7</v>
      </c>
      <c r="Z530" s="8">
        <v>1035.0</v>
      </c>
      <c r="AA530" s="8">
        <v>10.903</v>
      </c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 ht="15.75" customHeight="1">
      <c r="A531" s="6">
        <v>530.0</v>
      </c>
      <c r="B531" s="7">
        <v>49839.0</v>
      </c>
      <c r="C531" s="8">
        <v>115.4</v>
      </c>
      <c r="D531" s="8">
        <v>91.91</v>
      </c>
      <c r="E531" s="8">
        <v>79.9</v>
      </c>
      <c r="F531" s="8">
        <v>115.4</v>
      </c>
      <c r="G531" s="8">
        <v>91.91</v>
      </c>
      <c r="H531" s="8">
        <v>79.9</v>
      </c>
      <c r="I531" s="8">
        <v>60.0</v>
      </c>
      <c r="J531" s="8">
        <v>27.5</v>
      </c>
      <c r="K531" s="8">
        <v>83.3</v>
      </c>
      <c r="L531" s="9">
        <f t="shared" si="1"/>
        <v>290.8</v>
      </c>
      <c r="M531" s="9">
        <f t="shared" si="2"/>
        <v>183.2349957</v>
      </c>
      <c r="N531" s="9">
        <f t="shared" si="3"/>
        <v>252.4</v>
      </c>
      <c r="O531" s="9">
        <f t="shared" si="4"/>
        <v>269.6</v>
      </c>
      <c r="P531" s="9">
        <f t="shared" si="6"/>
        <v>216.4</v>
      </c>
      <c r="Q531" s="9">
        <f t="shared" ref="Q531:R531" si="529">average(L525:L531)</f>
        <v>252.3142857</v>
      </c>
      <c r="R531" s="9">
        <f t="shared" si="529"/>
        <v>159.8839141</v>
      </c>
      <c r="S531" s="11">
        <v>56.14</v>
      </c>
      <c r="T531" s="11">
        <v>52.44</v>
      </c>
      <c r="U531" s="12">
        <v>4.75</v>
      </c>
      <c r="V531" s="12"/>
      <c r="W531" s="12">
        <v>14.0</v>
      </c>
      <c r="X531" s="8">
        <v>25832.0</v>
      </c>
      <c r="Y531" s="8">
        <v>1891.0</v>
      </c>
      <c r="Z531" s="8">
        <v>1000.0</v>
      </c>
      <c r="AA531" s="8">
        <v>10.855</v>
      </c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 ht="15.75" customHeight="1">
      <c r="A532" s="6">
        <v>531.0</v>
      </c>
      <c r="B532" s="7">
        <v>49840.0</v>
      </c>
      <c r="C532" s="8">
        <v>111.2</v>
      </c>
      <c r="D532" s="8">
        <v>88.44</v>
      </c>
      <c r="E532" s="8">
        <v>83.03</v>
      </c>
      <c r="F532" s="8">
        <v>111.2</v>
      </c>
      <c r="G532" s="8">
        <v>88.44</v>
      </c>
      <c r="H532" s="8">
        <v>83.03</v>
      </c>
      <c r="I532" s="8">
        <v>60.0</v>
      </c>
      <c r="J532" s="8">
        <v>23.4</v>
      </c>
      <c r="K532" s="8">
        <v>81.9</v>
      </c>
      <c r="L532" s="9">
        <f t="shared" si="1"/>
        <v>282.4</v>
      </c>
      <c r="M532" s="9">
        <f t="shared" si="2"/>
        <v>174.810932</v>
      </c>
      <c r="N532" s="9">
        <f t="shared" si="3"/>
        <v>290.8</v>
      </c>
      <c r="O532" s="9">
        <f t="shared" si="4"/>
        <v>252.4</v>
      </c>
      <c r="P532" s="9">
        <f t="shared" si="6"/>
        <v>267</v>
      </c>
      <c r="Q532" s="9">
        <f t="shared" ref="Q532:R532" si="530">average(L526:L532)</f>
        <v>261.7428571</v>
      </c>
      <c r="R532" s="9">
        <f t="shared" si="530"/>
        <v>166.9278067</v>
      </c>
      <c r="S532" s="11">
        <v>56.18</v>
      </c>
      <c r="T532" s="11">
        <v>53.199999999999996</v>
      </c>
      <c r="U532" s="12">
        <v>5.0</v>
      </c>
      <c r="V532" s="12"/>
      <c r="W532" s="12">
        <v>14.0</v>
      </c>
      <c r="X532" s="8">
        <v>25840.0</v>
      </c>
      <c r="Y532" s="8">
        <v>1948.0</v>
      </c>
      <c r="Z532" s="8">
        <v>990.0</v>
      </c>
      <c r="AA532" s="8">
        <v>11.053</v>
      </c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 ht="15.75" customHeight="1">
      <c r="A533" s="6">
        <v>532.0</v>
      </c>
      <c r="B533" s="7">
        <v>49841.0</v>
      </c>
      <c r="C533" s="8">
        <v>90.9</v>
      </c>
      <c r="D533" s="8">
        <v>88.24</v>
      </c>
      <c r="E533" s="8">
        <v>82.81</v>
      </c>
      <c r="F533" s="8">
        <v>90.9</v>
      </c>
      <c r="G533" s="8">
        <v>88.24</v>
      </c>
      <c r="H533" s="8">
        <v>82.81</v>
      </c>
      <c r="I533" s="8">
        <v>60.0</v>
      </c>
      <c r="J533" s="8">
        <v>23.7</v>
      </c>
      <c r="K533" s="8">
        <v>79.6</v>
      </c>
      <c r="L533" s="9">
        <f t="shared" si="1"/>
        <v>241.8</v>
      </c>
      <c r="M533" s="9">
        <f t="shared" si="2"/>
        <v>144.163187</v>
      </c>
      <c r="N533" s="9">
        <f t="shared" si="3"/>
        <v>282.4</v>
      </c>
      <c r="O533" s="9">
        <f t="shared" si="4"/>
        <v>290.8</v>
      </c>
      <c r="P533" s="9">
        <f t="shared" si="6"/>
        <v>215</v>
      </c>
      <c r="Q533" s="9">
        <f t="shared" ref="Q533:R533" si="531">average(L527:L533)</f>
        <v>258.1428571</v>
      </c>
      <c r="R533" s="9">
        <f t="shared" si="531"/>
        <v>161.7534679</v>
      </c>
      <c r="S533" s="11">
        <v>54.14</v>
      </c>
      <c r="T533" s="11">
        <v>52.4925</v>
      </c>
      <c r="U533" s="12">
        <v>4.0</v>
      </c>
      <c r="V533" s="12"/>
      <c r="W533" s="12">
        <v>16.0</v>
      </c>
      <c r="X533" s="8">
        <v>25031.0</v>
      </c>
      <c r="Y533" s="8">
        <v>1845.0</v>
      </c>
      <c r="Z533" s="8">
        <v>906.0</v>
      </c>
      <c r="AA533" s="8">
        <v>11.461</v>
      </c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 ht="15.75" customHeight="1">
      <c r="A534" s="6">
        <v>533.0</v>
      </c>
      <c r="B534" s="7">
        <v>49842.0</v>
      </c>
      <c r="C534" s="8">
        <v>93.0</v>
      </c>
      <c r="D534" s="8">
        <v>89.89</v>
      </c>
      <c r="E534" s="8">
        <v>79.75</v>
      </c>
      <c r="F534" s="8">
        <v>93.0</v>
      </c>
      <c r="G534" s="8">
        <v>89.89</v>
      </c>
      <c r="H534" s="8">
        <v>79.75</v>
      </c>
      <c r="I534" s="8">
        <v>60.0</v>
      </c>
      <c r="J534" s="8">
        <v>25.7</v>
      </c>
      <c r="K534" s="8">
        <v>83.1</v>
      </c>
      <c r="L534" s="9">
        <f t="shared" si="1"/>
        <v>246</v>
      </c>
      <c r="M534" s="9">
        <f t="shared" si="2"/>
        <v>146.1523515</v>
      </c>
      <c r="N534" s="9">
        <f t="shared" si="3"/>
        <v>241.8</v>
      </c>
      <c r="O534" s="9">
        <f t="shared" si="4"/>
        <v>282.4</v>
      </c>
      <c r="P534" s="9">
        <f t="shared" si="6"/>
        <v>255</v>
      </c>
      <c r="Q534" s="9">
        <f t="shared" ref="Q534:R534" si="532">average(L528:L534)</f>
        <v>262.5714286</v>
      </c>
      <c r="R534" s="9">
        <f t="shared" si="532"/>
        <v>164.9024207</v>
      </c>
      <c r="S534" s="11">
        <v>54.96</v>
      </c>
      <c r="T534" s="11">
        <v>52.504999999999995</v>
      </c>
      <c r="U534" s="12">
        <v>6.78</v>
      </c>
      <c r="V534" s="12"/>
      <c r="W534" s="12">
        <v>15.0</v>
      </c>
      <c r="X534" s="8">
        <v>23559.0</v>
      </c>
      <c r="Y534" s="8">
        <v>2200.0</v>
      </c>
      <c r="Z534" s="8">
        <v>1009.0</v>
      </c>
      <c r="AA534" s="8">
        <v>11.264</v>
      </c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 ht="15.75" customHeight="1">
      <c r="A535" s="6">
        <v>534.0</v>
      </c>
      <c r="B535" s="7">
        <v>49843.0</v>
      </c>
      <c r="C535" s="8">
        <v>93.9</v>
      </c>
      <c r="D535" s="8">
        <v>81.9</v>
      </c>
      <c r="E535" s="8">
        <v>81.47</v>
      </c>
      <c r="F535" s="8">
        <v>93.9</v>
      </c>
      <c r="G535" s="8">
        <v>81.9</v>
      </c>
      <c r="H535" s="8">
        <v>81.47</v>
      </c>
      <c r="I535" s="8">
        <v>55.0</v>
      </c>
      <c r="J535" s="8">
        <v>31.0</v>
      </c>
      <c r="K535" s="8">
        <v>83.9</v>
      </c>
      <c r="L535" s="9">
        <f t="shared" si="1"/>
        <v>242.8</v>
      </c>
      <c r="M535" s="9">
        <f t="shared" si="2"/>
        <v>139.6124905</v>
      </c>
      <c r="N535" s="9">
        <f t="shared" si="3"/>
        <v>246</v>
      </c>
      <c r="O535" s="9">
        <f t="shared" si="4"/>
        <v>241.8</v>
      </c>
      <c r="P535" s="9">
        <f t="shared" si="6"/>
        <v>269.6</v>
      </c>
      <c r="Q535" s="9">
        <f t="shared" ref="Q535:R535" si="533">average(L529:L535)</f>
        <v>260.8285714</v>
      </c>
      <c r="R535" s="9">
        <f t="shared" si="533"/>
        <v>161.2025167</v>
      </c>
      <c r="S535" s="11">
        <v>56.1</v>
      </c>
      <c r="T535" s="11">
        <v>52.05</v>
      </c>
      <c r="U535" s="12">
        <v>4.62</v>
      </c>
      <c r="V535" s="12"/>
      <c r="W535" s="12">
        <v>17.0</v>
      </c>
      <c r="X535" s="8">
        <v>23741.0</v>
      </c>
      <c r="Y535" s="8">
        <v>1965.0</v>
      </c>
      <c r="Z535" s="8">
        <v>997.0</v>
      </c>
      <c r="AA535" s="8">
        <v>11.002</v>
      </c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 ht="15.75" customHeight="1">
      <c r="A536" s="6">
        <v>535.0</v>
      </c>
      <c r="B536" s="7">
        <v>49844.0</v>
      </c>
      <c r="C536" s="8">
        <v>82.2</v>
      </c>
      <c r="D536" s="8">
        <v>87.0</v>
      </c>
      <c r="E536" s="8">
        <v>76.65</v>
      </c>
      <c r="F536" s="8">
        <v>82.2</v>
      </c>
      <c r="G536" s="8">
        <v>87.0</v>
      </c>
      <c r="H536" s="8">
        <v>76.65</v>
      </c>
      <c r="I536" s="8">
        <v>50.0</v>
      </c>
      <c r="J536" s="8">
        <v>16.2</v>
      </c>
      <c r="K536" s="8">
        <v>84.6</v>
      </c>
      <c r="L536" s="9">
        <f t="shared" si="1"/>
        <v>214.4</v>
      </c>
      <c r="M536" s="9">
        <f t="shared" si="2"/>
        <v>116.483562</v>
      </c>
      <c r="N536" s="9">
        <f t="shared" si="3"/>
        <v>242.8</v>
      </c>
      <c r="O536" s="9">
        <f t="shared" si="4"/>
        <v>246</v>
      </c>
      <c r="P536" s="9">
        <f t="shared" si="6"/>
        <v>252.4</v>
      </c>
      <c r="Q536" s="9">
        <f t="shared" ref="Q536:R536" si="534">average(L530:L536)</f>
        <v>252.9428571</v>
      </c>
      <c r="R536" s="9">
        <f t="shared" si="534"/>
        <v>154.6392032</v>
      </c>
      <c r="S536" s="11">
        <v>54.57</v>
      </c>
      <c r="T536" s="11">
        <v>51.94</v>
      </c>
      <c r="U536" s="12">
        <v>5.02</v>
      </c>
      <c r="V536" s="12"/>
      <c r="W536" s="12">
        <v>18.0</v>
      </c>
      <c r="X536" s="8">
        <v>18865.0</v>
      </c>
      <c r="Y536" s="8">
        <v>1900.0</v>
      </c>
      <c r="Z536" s="8">
        <v>809.0</v>
      </c>
      <c r="AA536" s="8">
        <v>8.636</v>
      </c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 ht="15.75" customHeight="1">
      <c r="A537" s="6">
        <v>536.0</v>
      </c>
      <c r="B537" s="7">
        <v>49845.0</v>
      </c>
      <c r="C537" s="8">
        <v>75.4</v>
      </c>
      <c r="D537" s="8">
        <v>85.49</v>
      </c>
      <c r="E537" s="8">
        <v>81.01</v>
      </c>
      <c r="F537" s="8">
        <v>75.4</v>
      </c>
      <c r="G537" s="8">
        <v>85.49</v>
      </c>
      <c r="H537" s="8">
        <v>81.01</v>
      </c>
      <c r="I537" s="8">
        <v>45.0</v>
      </c>
      <c r="J537" s="8">
        <v>17.2</v>
      </c>
      <c r="K537" s="8">
        <v>81.8</v>
      </c>
      <c r="L537" s="9">
        <f t="shared" si="1"/>
        <v>195.8</v>
      </c>
      <c r="M537" s="9">
        <f t="shared" si="2"/>
        <v>110.7685371</v>
      </c>
      <c r="N537" s="9">
        <f t="shared" si="3"/>
        <v>214.4</v>
      </c>
      <c r="O537" s="9">
        <f t="shared" si="4"/>
        <v>242.8</v>
      </c>
      <c r="P537" s="9">
        <f t="shared" si="6"/>
        <v>290.8</v>
      </c>
      <c r="Q537" s="9">
        <f t="shared" ref="Q537:R537" si="535">average(L531:L537)</f>
        <v>244.8571429</v>
      </c>
      <c r="R537" s="9">
        <f t="shared" si="535"/>
        <v>145.0322937</v>
      </c>
      <c r="S537" s="11">
        <v>53.42</v>
      </c>
      <c r="T537" s="11">
        <v>51.2325</v>
      </c>
      <c r="U537" s="12">
        <v>5.2</v>
      </c>
      <c r="V537" s="12"/>
      <c r="W537" s="12">
        <v>16.0</v>
      </c>
      <c r="X537" s="8">
        <v>24665.0</v>
      </c>
      <c r="Y537" s="8">
        <v>2075.0</v>
      </c>
      <c r="Z537" s="8">
        <v>1157.0</v>
      </c>
      <c r="AA537" s="8">
        <v>11.289</v>
      </c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 ht="15.75" customHeight="1">
      <c r="A538" s="6">
        <v>537.0</v>
      </c>
      <c r="B538" s="7">
        <v>49846.0</v>
      </c>
      <c r="C538" s="8">
        <v>108.8</v>
      </c>
      <c r="D538" s="8">
        <v>88.01</v>
      </c>
      <c r="E538" s="8">
        <v>79.38</v>
      </c>
      <c r="F538" s="8">
        <v>108.8</v>
      </c>
      <c r="G538" s="8">
        <v>88.01</v>
      </c>
      <c r="H538" s="8">
        <v>79.38</v>
      </c>
      <c r="I538" s="8">
        <v>60.0</v>
      </c>
      <c r="J538" s="8">
        <v>18.9</v>
      </c>
      <c r="K538" s="8">
        <v>81.8</v>
      </c>
      <c r="L538" s="9">
        <f t="shared" si="1"/>
        <v>277.6</v>
      </c>
      <c r="M538" s="9">
        <f t="shared" si="2"/>
        <v>161.2965675</v>
      </c>
      <c r="N538" s="9">
        <f t="shared" si="3"/>
        <v>195.8</v>
      </c>
      <c r="O538" s="9">
        <f t="shared" si="4"/>
        <v>214.4</v>
      </c>
      <c r="P538" s="9">
        <f t="shared" si="6"/>
        <v>282.4</v>
      </c>
      <c r="Q538" s="9">
        <f t="shared" ref="Q538:R538" si="536">average(L532:L538)</f>
        <v>242.9714286</v>
      </c>
      <c r="R538" s="9">
        <f t="shared" si="536"/>
        <v>141.8982325</v>
      </c>
      <c r="S538" s="11">
        <v>56.42</v>
      </c>
      <c r="T538" s="11">
        <v>51.542500000000004</v>
      </c>
      <c r="U538" s="12">
        <v>4.6</v>
      </c>
      <c r="V538" s="12"/>
      <c r="W538" s="12">
        <v>16.0</v>
      </c>
      <c r="X538" s="8">
        <v>23592.0</v>
      </c>
      <c r="Y538" s="8">
        <v>1755.0</v>
      </c>
      <c r="Z538" s="8">
        <v>1272.0</v>
      </c>
      <c r="AA538" s="8">
        <v>10.264</v>
      </c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 ht="15.75" customHeight="1">
      <c r="A539" s="6">
        <v>538.0</v>
      </c>
      <c r="B539" s="7">
        <v>49847.0</v>
      </c>
      <c r="C539" s="8">
        <v>73.2</v>
      </c>
      <c r="D539" s="8">
        <v>88.94</v>
      </c>
      <c r="E539" s="8">
        <v>84.0</v>
      </c>
      <c r="F539" s="8">
        <v>73.2</v>
      </c>
      <c r="G539" s="8">
        <v>88.94</v>
      </c>
      <c r="H539" s="8">
        <v>84.0</v>
      </c>
      <c r="I539" s="8">
        <v>46.0</v>
      </c>
      <c r="J539" s="8">
        <v>20.3</v>
      </c>
      <c r="K539" s="8">
        <v>85.0</v>
      </c>
      <c r="L539" s="9">
        <f t="shared" si="1"/>
        <v>192.4</v>
      </c>
      <c r="M539" s="9">
        <f t="shared" si="2"/>
        <v>117.3121544</v>
      </c>
      <c r="N539" s="9">
        <f t="shared" si="3"/>
        <v>277.6</v>
      </c>
      <c r="O539" s="9">
        <f t="shared" si="4"/>
        <v>195.8</v>
      </c>
      <c r="P539" s="9">
        <f t="shared" si="6"/>
        <v>241.8</v>
      </c>
      <c r="Q539" s="9">
        <f t="shared" ref="Q539:R539" si="537">average(L533:L539)</f>
        <v>230.1142857</v>
      </c>
      <c r="R539" s="9">
        <f t="shared" si="537"/>
        <v>133.6841214</v>
      </c>
      <c r="S539" s="11">
        <v>57.29</v>
      </c>
      <c r="T539" s="11">
        <v>51.535</v>
      </c>
      <c r="U539" s="12">
        <v>5.9</v>
      </c>
      <c r="V539" s="12"/>
      <c r="W539" s="12">
        <v>14.0</v>
      </c>
      <c r="X539" s="8">
        <v>26483.0</v>
      </c>
      <c r="Y539" s="8">
        <v>2008.0</v>
      </c>
      <c r="Z539" s="8">
        <v>1299.0</v>
      </c>
      <c r="AA539" s="8">
        <v>11.48</v>
      </c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 ht="15.75" customHeight="1">
      <c r="A540" s="6">
        <v>539.0</v>
      </c>
      <c r="B540" s="7">
        <v>49848.0</v>
      </c>
      <c r="C540" s="8">
        <v>106.8</v>
      </c>
      <c r="D540" s="8">
        <v>91.61</v>
      </c>
      <c r="E540" s="8">
        <v>82.67</v>
      </c>
      <c r="F540" s="8">
        <v>106.8</v>
      </c>
      <c r="G540" s="8">
        <v>91.61</v>
      </c>
      <c r="H540" s="8">
        <v>82.67</v>
      </c>
      <c r="I540" s="8">
        <v>60.0</v>
      </c>
      <c r="J540" s="8">
        <v>21.4</v>
      </c>
      <c r="K540" s="8">
        <v>81.9</v>
      </c>
      <c r="L540" s="9">
        <f t="shared" si="1"/>
        <v>273.6</v>
      </c>
      <c r="M540" s="9">
        <f t="shared" si="2"/>
        <v>172.2837562</v>
      </c>
      <c r="N540" s="9">
        <f t="shared" si="3"/>
        <v>192.4</v>
      </c>
      <c r="O540" s="9">
        <f t="shared" si="4"/>
        <v>277.6</v>
      </c>
      <c r="P540" s="9">
        <f t="shared" si="6"/>
        <v>246</v>
      </c>
      <c r="Q540" s="9">
        <f t="shared" ref="Q540:R540" si="538">average(L534:L540)</f>
        <v>234.6571429</v>
      </c>
      <c r="R540" s="9">
        <f t="shared" si="538"/>
        <v>137.7013456</v>
      </c>
      <c r="S540" s="11">
        <v>58.13</v>
      </c>
      <c r="T540" s="11">
        <v>51.875</v>
      </c>
      <c r="U540" s="12">
        <v>4.52</v>
      </c>
      <c r="V540" s="12"/>
      <c r="W540" s="12">
        <v>15.0</v>
      </c>
      <c r="X540" s="8">
        <v>26692.0</v>
      </c>
      <c r="Y540" s="8">
        <v>1835.0</v>
      </c>
      <c r="Z540" s="8">
        <v>1282.0</v>
      </c>
      <c r="AA540" s="8">
        <v>11.64</v>
      </c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 ht="15.75" customHeight="1">
      <c r="A541" s="6">
        <v>540.0</v>
      </c>
      <c r="B541" s="7">
        <v>49849.0</v>
      </c>
      <c r="C541" s="8">
        <v>99.3</v>
      </c>
      <c r="D541" s="8">
        <v>93.36</v>
      </c>
      <c r="E541" s="8">
        <v>83.47</v>
      </c>
      <c r="F541" s="8">
        <v>99.3</v>
      </c>
      <c r="G541" s="8">
        <v>93.36</v>
      </c>
      <c r="H541" s="8">
        <v>83.47</v>
      </c>
      <c r="I541" s="8">
        <v>60.0</v>
      </c>
      <c r="J541" s="8">
        <v>24.1</v>
      </c>
      <c r="K541" s="8">
        <v>79.3</v>
      </c>
      <c r="L541" s="9">
        <f t="shared" si="1"/>
        <v>258.6</v>
      </c>
      <c r="M541" s="9">
        <f t="shared" si="2"/>
        <v>166.2309777</v>
      </c>
      <c r="N541" s="9">
        <f t="shared" si="3"/>
        <v>273.6</v>
      </c>
      <c r="O541" s="9">
        <f t="shared" si="4"/>
        <v>192.4</v>
      </c>
      <c r="P541" s="9">
        <f t="shared" si="6"/>
        <v>242.8</v>
      </c>
      <c r="Q541" s="9">
        <f t="shared" ref="Q541:R541" si="539">average(L535:L541)</f>
        <v>236.4571429</v>
      </c>
      <c r="R541" s="9">
        <f t="shared" si="539"/>
        <v>140.5697208</v>
      </c>
      <c r="S541" s="11">
        <v>57.86</v>
      </c>
      <c r="T541" s="11">
        <v>52.125</v>
      </c>
      <c r="U541" s="12">
        <v>5.04</v>
      </c>
      <c r="V541" s="12"/>
      <c r="W541" s="12">
        <v>15.0</v>
      </c>
      <c r="X541" s="8">
        <v>23854.0</v>
      </c>
      <c r="Y541" s="8">
        <v>1910.0</v>
      </c>
      <c r="Z541" s="8">
        <v>1284.0</v>
      </c>
      <c r="AA541" s="8">
        <v>10.662</v>
      </c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 ht="15.75" customHeight="1">
      <c r="A542" s="6">
        <v>541.0</v>
      </c>
      <c r="B542" s="7">
        <v>49850.0</v>
      </c>
      <c r="C542" s="8">
        <v>108.7</v>
      </c>
      <c r="D542" s="8">
        <v>89.05</v>
      </c>
      <c r="E542" s="8">
        <v>82.73</v>
      </c>
      <c r="F542" s="8">
        <v>108.7</v>
      </c>
      <c r="G542" s="8">
        <v>89.05</v>
      </c>
      <c r="H542" s="8">
        <v>82.73</v>
      </c>
      <c r="I542" s="8">
        <v>58.0</v>
      </c>
      <c r="J542" s="8">
        <v>25.5</v>
      </c>
      <c r="K542" s="8">
        <v>83.2</v>
      </c>
      <c r="L542" s="9">
        <f t="shared" si="1"/>
        <v>275.4</v>
      </c>
      <c r="M542" s="9">
        <f t="shared" si="2"/>
        <v>172.4661753</v>
      </c>
      <c r="N542" s="9">
        <f t="shared" si="3"/>
        <v>258.6</v>
      </c>
      <c r="O542" s="9">
        <f t="shared" si="4"/>
        <v>273.6</v>
      </c>
      <c r="P542" s="9">
        <f t="shared" si="6"/>
        <v>214.4</v>
      </c>
      <c r="Q542" s="9">
        <f t="shared" ref="Q542:R542" si="540">average(L536:L542)</f>
        <v>241.1142857</v>
      </c>
      <c r="R542" s="9">
        <f t="shared" si="540"/>
        <v>145.2631043</v>
      </c>
      <c r="S542" s="11">
        <v>56.1</v>
      </c>
      <c r="T542" s="11">
        <v>53.0875</v>
      </c>
      <c r="U542" s="12">
        <v>7.65</v>
      </c>
      <c r="V542" s="12"/>
      <c r="W542" s="12">
        <v>10.0</v>
      </c>
      <c r="X542" s="8">
        <v>28311.0</v>
      </c>
      <c r="Y542" s="8">
        <v>2584.0</v>
      </c>
      <c r="Z542" s="8">
        <v>1205.0</v>
      </c>
      <c r="AA542" s="8">
        <v>12.228</v>
      </c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 ht="15.75" customHeight="1">
      <c r="A543" s="6">
        <v>542.0</v>
      </c>
      <c r="B543" s="7">
        <v>49851.0</v>
      </c>
      <c r="C543" s="8">
        <v>88.6</v>
      </c>
      <c r="D543" s="8">
        <v>90.54</v>
      </c>
      <c r="E543" s="8">
        <v>85.62</v>
      </c>
      <c r="F543" s="8">
        <v>88.6</v>
      </c>
      <c r="G543" s="8">
        <v>90.54</v>
      </c>
      <c r="H543" s="8">
        <v>85.62</v>
      </c>
      <c r="I543" s="8">
        <v>55.0</v>
      </c>
      <c r="J543" s="8">
        <v>23.4</v>
      </c>
      <c r="K543" s="8">
        <v>80.7</v>
      </c>
      <c r="L543" s="9">
        <f t="shared" si="1"/>
        <v>232.2</v>
      </c>
      <c r="M543" s="9">
        <f t="shared" si="2"/>
        <v>147.7521467</v>
      </c>
      <c r="N543" s="9">
        <f t="shared" si="3"/>
        <v>275.4</v>
      </c>
      <c r="O543" s="9">
        <f t="shared" si="4"/>
        <v>258.6</v>
      </c>
      <c r="P543" s="9">
        <f t="shared" si="6"/>
        <v>195.8</v>
      </c>
      <c r="Q543" s="9">
        <f t="shared" ref="Q543:R543" si="541">average(L537:L543)</f>
        <v>243.6571429</v>
      </c>
      <c r="R543" s="9">
        <f t="shared" si="541"/>
        <v>149.730045</v>
      </c>
      <c r="S543" s="11">
        <v>55.78</v>
      </c>
      <c r="T543" s="11">
        <v>53.105000000000004</v>
      </c>
      <c r="U543" s="12">
        <v>6.29</v>
      </c>
      <c r="V543" s="12"/>
      <c r="W543" s="14">
        <f t="shared" ref="W543:W647" si="543">AVERAGE(W527:W542)</f>
        <v>15.3125</v>
      </c>
      <c r="X543" s="8">
        <v>24892.0</v>
      </c>
      <c r="Y543" s="8">
        <v>2201.0</v>
      </c>
      <c r="Z543" s="8"/>
      <c r="AA543" s="8">
        <v>10.568</v>
      </c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 ht="15.75" customHeight="1">
      <c r="A544" s="6">
        <v>543.0</v>
      </c>
      <c r="B544" s="7">
        <v>49852.0</v>
      </c>
      <c r="C544" s="8">
        <v>101.6</v>
      </c>
      <c r="D544" s="8">
        <v>90.93</v>
      </c>
      <c r="E544" s="8">
        <v>85.62</v>
      </c>
      <c r="F544" s="8">
        <v>101.6</v>
      </c>
      <c r="G544" s="8">
        <v>90.93</v>
      </c>
      <c r="H544" s="8">
        <v>85.62</v>
      </c>
      <c r="I544" s="8">
        <v>63.0</v>
      </c>
      <c r="J544" s="8">
        <v>25.1</v>
      </c>
      <c r="K544" s="8">
        <v>80.7</v>
      </c>
      <c r="L544" s="9">
        <f t="shared" si="1"/>
        <v>266.2</v>
      </c>
      <c r="M544" s="9">
        <f t="shared" si="2"/>
        <v>170.9609595</v>
      </c>
      <c r="N544" s="9">
        <f t="shared" si="3"/>
        <v>232.2</v>
      </c>
      <c r="O544" s="9">
        <f t="shared" si="4"/>
        <v>275.4</v>
      </c>
      <c r="P544" s="9">
        <f t="shared" si="6"/>
        <v>277.6</v>
      </c>
      <c r="Q544" s="9">
        <f t="shared" ref="Q544:R544" si="542">average(L538:L544)</f>
        <v>253.7142857</v>
      </c>
      <c r="R544" s="9">
        <f t="shared" si="542"/>
        <v>158.3289625</v>
      </c>
      <c r="S544" s="11">
        <v>54.71</v>
      </c>
      <c r="T544" s="11">
        <v>53.3425</v>
      </c>
      <c r="U544" s="12">
        <v>5.29</v>
      </c>
      <c r="V544" s="12"/>
      <c r="W544" s="14">
        <f t="shared" si="543"/>
        <v>15.39453125</v>
      </c>
      <c r="X544" s="8">
        <v>26915.0</v>
      </c>
      <c r="Y544" s="8">
        <v>2240.0</v>
      </c>
      <c r="Z544" s="8"/>
      <c r="AA544" s="8">
        <v>11.595</v>
      </c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 ht="15.75" customHeight="1">
      <c r="A545" s="6">
        <v>544.0</v>
      </c>
      <c r="B545" s="7">
        <v>49853.0</v>
      </c>
      <c r="C545" s="8">
        <v>78.2</v>
      </c>
      <c r="D545" s="8">
        <v>86.08</v>
      </c>
      <c r="E545" s="8">
        <v>81.71</v>
      </c>
      <c r="F545" s="8">
        <v>78.2</v>
      </c>
      <c r="G545" s="8">
        <v>86.08</v>
      </c>
      <c r="H545" s="8">
        <v>81.71</v>
      </c>
      <c r="I545" s="8">
        <v>60.0</v>
      </c>
      <c r="J545" s="8">
        <v>25.1</v>
      </c>
      <c r="K545" s="8">
        <v>82.2</v>
      </c>
      <c r="L545" s="9">
        <f t="shared" si="1"/>
        <v>216.4</v>
      </c>
      <c r="M545" s="9">
        <f t="shared" si="2"/>
        <v>122.384774</v>
      </c>
      <c r="N545" s="9">
        <f t="shared" si="3"/>
        <v>266.2</v>
      </c>
      <c r="O545" s="9">
        <f t="shared" si="4"/>
        <v>232.2</v>
      </c>
      <c r="P545" s="9">
        <f t="shared" si="6"/>
        <v>192.4</v>
      </c>
      <c r="Q545" s="9">
        <f t="shared" ref="Q545:R545" si="544">average(L539:L545)</f>
        <v>244.9714286</v>
      </c>
      <c r="R545" s="9">
        <f t="shared" si="544"/>
        <v>152.7701348</v>
      </c>
      <c r="S545" s="11">
        <v>55.37</v>
      </c>
      <c r="T545" s="11">
        <v>52.949999999999996</v>
      </c>
      <c r="U545" s="12">
        <v>6.21</v>
      </c>
      <c r="V545" s="12"/>
      <c r="W545" s="14">
        <f t="shared" si="543"/>
        <v>15.35668945</v>
      </c>
      <c r="X545" s="8">
        <v>27964.0</v>
      </c>
      <c r="Y545" s="8">
        <v>2505.0</v>
      </c>
      <c r="Z545" s="8"/>
      <c r="AA545" s="8">
        <v>12.312</v>
      </c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 ht="15.75" customHeight="1">
      <c r="A546" s="6">
        <v>545.0</v>
      </c>
      <c r="B546" s="7">
        <v>49854.0</v>
      </c>
      <c r="C546" s="8">
        <v>89.4</v>
      </c>
      <c r="D546" s="8">
        <v>88.5</v>
      </c>
      <c r="E546" s="8">
        <v>79.92</v>
      </c>
      <c r="F546" s="8">
        <v>89.4</v>
      </c>
      <c r="G546" s="8">
        <v>88.5</v>
      </c>
      <c r="H546" s="8">
        <v>79.92</v>
      </c>
      <c r="I546" s="8">
        <v>60.0</v>
      </c>
      <c r="J546" s="8">
        <v>28.2</v>
      </c>
      <c r="K546" s="8">
        <v>78.3</v>
      </c>
      <c r="L546" s="9">
        <f t="shared" si="1"/>
        <v>238.8</v>
      </c>
      <c r="M546" s="9">
        <f t="shared" si="2"/>
        <v>139.7121696</v>
      </c>
      <c r="N546" s="9">
        <f t="shared" si="3"/>
        <v>216.4</v>
      </c>
      <c r="O546" s="9">
        <f t="shared" si="4"/>
        <v>266.2</v>
      </c>
      <c r="P546" s="9">
        <f t="shared" si="6"/>
        <v>273.6</v>
      </c>
      <c r="Q546" s="9">
        <f t="shared" ref="Q546:R546" si="545">average(L540:L546)</f>
        <v>251.6</v>
      </c>
      <c r="R546" s="9">
        <f t="shared" si="545"/>
        <v>155.970137</v>
      </c>
      <c r="S546" s="11">
        <v>55.79</v>
      </c>
      <c r="T546" s="11">
        <v>52.905</v>
      </c>
      <c r="U546" s="12">
        <v>5.64</v>
      </c>
      <c r="V546" s="12"/>
      <c r="W546" s="14">
        <f t="shared" si="543"/>
        <v>15.44148254</v>
      </c>
      <c r="X546" s="8">
        <v>26109.0</v>
      </c>
      <c r="Y546" s="8">
        <v>2330.0</v>
      </c>
      <c r="Z546" s="8"/>
      <c r="AA546" s="8">
        <v>12.065</v>
      </c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 ht="15.75" customHeight="1">
      <c r="A547" s="6">
        <v>546.0</v>
      </c>
      <c r="B547" s="7">
        <v>49855.0</v>
      </c>
      <c r="C547" s="8">
        <v>95.7</v>
      </c>
      <c r="D547" s="8">
        <v>81.89</v>
      </c>
      <c r="E547" s="8">
        <v>80.77</v>
      </c>
      <c r="F547" s="8">
        <v>95.7</v>
      </c>
      <c r="G547" s="8">
        <v>81.89</v>
      </c>
      <c r="H547" s="8">
        <v>80.77</v>
      </c>
      <c r="I547" s="8">
        <v>60.0</v>
      </c>
      <c r="J547" s="8">
        <v>24.8</v>
      </c>
      <c r="K547" s="8">
        <v>82.2</v>
      </c>
      <c r="L547" s="9">
        <f t="shared" si="1"/>
        <v>251.4</v>
      </c>
      <c r="M547" s="9">
        <f t="shared" si="2"/>
        <v>138.8282064</v>
      </c>
      <c r="N547" s="9">
        <f t="shared" si="3"/>
        <v>238.8</v>
      </c>
      <c r="O547" s="9">
        <f t="shared" si="4"/>
        <v>216.4</v>
      </c>
      <c r="P547" s="9">
        <f t="shared" si="6"/>
        <v>258.6</v>
      </c>
      <c r="Q547" s="9">
        <f t="shared" ref="Q547:R547" si="546">average(L541:L547)</f>
        <v>248.4285714</v>
      </c>
      <c r="R547" s="9">
        <f t="shared" si="546"/>
        <v>151.1907727</v>
      </c>
      <c r="S547" s="11">
        <v>55.66</v>
      </c>
      <c r="T547" s="11">
        <v>53.3925</v>
      </c>
      <c r="U547" s="12">
        <v>5.64</v>
      </c>
      <c r="V547" s="12"/>
      <c r="W547" s="14">
        <f t="shared" si="543"/>
        <v>15.0940752</v>
      </c>
      <c r="X547" s="8">
        <v>26077.0</v>
      </c>
      <c r="Y547" s="8">
        <v>2150.0</v>
      </c>
      <c r="Z547" s="8"/>
      <c r="AA547" s="8">
        <v>11.987</v>
      </c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 ht="15.75" customHeight="1">
      <c r="A548" s="6">
        <v>547.0</v>
      </c>
      <c r="B548" s="7">
        <v>49856.0</v>
      </c>
      <c r="C548" s="8">
        <v>87.3</v>
      </c>
      <c r="D548" s="8">
        <v>85.21</v>
      </c>
      <c r="E548" s="8">
        <v>84.41</v>
      </c>
      <c r="F548" s="8">
        <v>87.3</v>
      </c>
      <c r="G548" s="8">
        <v>85.21</v>
      </c>
      <c r="H548" s="8">
        <v>84.41</v>
      </c>
      <c r="I548" s="8">
        <v>25.0</v>
      </c>
      <c r="J548" s="8">
        <v>24.8</v>
      </c>
      <c r="K548" s="8">
        <v>82.0</v>
      </c>
      <c r="L548" s="9">
        <f t="shared" si="1"/>
        <v>199.6</v>
      </c>
      <c r="M548" s="9">
        <f t="shared" si="2"/>
        <v>130.6663787</v>
      </c>
      <c r="N548" s="9">
        <f t="shared" si="3"/>
        <v>251.4</v>
      </c>
      <c r="O548" s="9">
        <f t="shared" si="4"/>
        <v>238.8</v>
      </c>
      <c r="P548" s="9">
        <f t="shared" si="6"/>
        <v>275.4</v>
      </c>
      <c r="Q548" s="9">
        <f t="shared" ref="Q548:R548" si="547">average(L542:L548)</f>
        <v>240</v>
      </c>
      <c r="R548" s="9">
        <f t="shared" si="547"/>
        <v>146.1101157</v>
      </c>
      <c r="S548" s="11">
        <v>55.23</v>
      </c>
      <c r="T548" s="11">
        <v>53.1325</v>
      </c>
      <c r="U548" s="12">
        <v>4.46</v>
      </c>
      <c r="V548" s="12"/>
      <c r="W548" s="14">
        <f t="shared" si="543"/>
        <v>15.1624549</v>
      </c>
      <c r="X548" s="8">
        <v>25640.0</v>
      </c>
      <c r="Y548" s="8">
        <v>1900.0</v>
      </c>
      <c r="Z548" s="8"/>
      <c r="AA548" s="8">
        <v>12.144</v>
      </c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 ht="15.75" customHeight="1">
      <c r="A549" s="6">
        <v>548.0</v>
      </c>
      <c r="B549" s="7">
        <v>49857.0</v>
      </c>
      <c r="C549" s="8">
        <v>104.3</v>
      </c>
      <c r="D549" s="8">
        <v>87.05</v>
      </c>
      <c r="E549" s="8">
        <v>81.71</v>
      </c>
      <c r="F549" s="8">
        <v>104.3</v>
      </c>
      <c r="G549" s="8">
        <v>87.05</v>
      </c>
      <c r="H549" s="8">
        <v>81.71</v>
      </c>
      <c r="I549" s="8">
        <v>30.0</v>
      </c>
      <c r="J549" s="8">
        <v>29.9</v>
      </c>
      <c r="K549" s="8">
        <v>83.4</v>
      </c>
      <c r="L549" s="9">
        <f t="shared" si="1"/>
        <v>238.6</v>
      </c>
      <c r="M549" s="9">
        <f t="shared" si="2"/>
        <v>155.8551457</v>
      </c>
      <c r="N549" s="9">
        <f t="shared" si="3"/>
        <v>199.6</v>
      </c>
      <c r="O549" s="9">
        <f t="shared" si="4"/>
        <v>251.4</v>
      </c>
      <c r="P549" s="9">
        <f t="shared" si="6"/>
        <v>232.2</v>
      </c>
      <c r="Q549" s="9">
        <f t="shared" ref="Q549:R549" si="548">average(L543:L549)</f>
        <v>234.7428571</v>
      </c>
      <c r="R549" s="9">
        <f t="shared" si="548"/>
        <v>143.7371115</v>
      </c>
      <c r="S549" s="11">
        <v>55.63</v>
      </c>
      <c r="T549" s="11">
        <v>53.1075</v>
      </c>
      <c r="U549" s="12">
        <v>6.44</v>
      </c>
      <c r="V549" s="12"/>
      <c r="W549" s="14">
        <f t="shared" si="543"/>
        <v>15.23510833</v>
      </c>
      <c r="X549" s="8">
        <v>24264.0</v>
      </c>
      <c r="Y549" s="8">
        <v>2250.0</v>
      </c>
      <c r="Z549" s="8"/>
      <c r="AA549" s="8">
        <v>11.62</v>
      </c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 ht="15.75" customHeight="1">
      <c r="A550" s="6">
        <v>549.0</v>
      </c>
      <c r="B550" s="7">
        <v>49858.0</v>
      </c>
      <c r="C550" s="8">
        <v>112.7</v>
      </c>
      <c r="D550" s="8">
        <v>85.21</v>
      </c>
      <c r="E550" s="8">
        <v>77.44</v>
      </c>
      <c r="F550" s="8">
        <v>112.7</v>
      </c>
      <c r="G550" s="8">
        <v>85.21</v>
      </c>
      <c r="H550" s="8">
        <v>77.44</v>
      </c>
      <c r="I550" s="8">
        <v>30.0</v>
      </c>
      <c r="J550" s="8">
        <v>25.7</v>
      </c>
      <c r="K550" s="8">
        <v>84.2</v>
      </c>
      <c r="L550" s="9">
        <f t="shared" si="1"/>
        <v>255.4</v>
      </c>
      <c r="M550" s="9">
        <f t="shared" si="2"/>
        <v>155.2256705</v>
      </c>
      <c r="N550" s="9">
        <f t="shared" si="3"/>
        <v>238.6</v>
      </c>
      <c r="O550" s="9">
        <f t="shared" si="4"/>
        <v>199.6</v>
      </c>
      <c r="P550" s="9">
        <f t="shared" si="6"/>
        <v>266.2</v>
      </c>
      <c r="Q550" s="9">
        <f t="shared" ref="Q550:R550" si="549">average(L544:L550)</f>
        <v>238.0571429</v>
      </c>
      <c r="R550" s="9">
        <f t="shared" si="549"/>
        <v>144.8047578</v>
      </c>
      <c r="S550" s="11">
        <v>55.87</v>
      </c>
      <c r="T550" s="11">
        <v>53.3925</v>
      </c>
      <c r="U550" s="12">
        <v>5.23</v>
      </c>
      <c r="V550" s="12"/>
      <c r="W550" s="14">
        <f t="shared" si="543"/>
        <v>15.18730261</v>
      </c>
      <c r="X550" s="8">
        <v>25303.0</v>
      </c>
      <c r="Y550" s="8">
        <v>2135.0</v>
      </c>
      <c r="Z550" s="8"/>
      <c r="AA550" s="8">
        <v>12.451</v>
      </c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 ht="15.75" customHeight="1">
      <c r="A551" s="6">
        <v>550.0</v>
      </c>
      <c r="B551" s="7">
        <v>49859.0</v>
      </c>
      <c r="C551" s="8">
        <v>112.2</v>
      </c>
      <c r="D551" s="8">
        <v>92.33</v>
      </c>
      <c r="E551" s="8">
        <v>82.66</v>
      </c>
      <c r="F551" s="8">
        <v>112.2</v>
      </c>
      <c r="G551" s="8">
        <v>92.33</v>
      </c>
      <c r="H551" s="8">
        <v>82.66</v>
      </c>
      <c r="I551" s="8">
        <v>30.0</v>
      </c>
      <c r="J551" s="8">
        <v>29.8</v>
      </c>
      <c r="K551" s="8">
        <v>84.2</v>
      </c>
      <c r="L551" s="9">
        <f t="shared" si="1"/>
        <v>254.4</v>
      </c>
      <c r="M551" s="9">
        <f t="shared" si="2"/>
        <v>178.7895106</v>
      </c>
      <c r="N551" s="9">
        <f t="shared" si="3"/>
        <v>255.4</v>
      </c>
      <c r="O551" s="9">
        <f t="shared" si="4"/>
        <v>238.6</v>
      </c>
      <c r="P551" s="9">
        <f t="shared" si="6"/>
        <v>216.4</v>
      </c>
      <c r="Q551" s="9">
        <f t="shared" ref="Q551:R551" si="550">average(L545:L551)</f>
        <v>236.3714286</v>
      </c>
      <c r="R551" s="9">
        <f t="shared" si="550"/>
        <v>145.9231222</v>
      </c>
      <c r="S551" s="11">
        <v>55.88</v>
      </c>
      <c r="T551" s="11">
        <v>53.17</v>
      </c>
      <c r="U551" s="12">
        <v>5.03</v>
      </c>
      <c r="V551" s="12"/>
      <c r="W551" s="14">
        <f t="shared" si="543"/>
        <v>15.19900902</v>
      </c>
      <c r="X551" s="8">
        <v>26650.0</v>
      </c>
      <c r="Y551" s="8">
        <v>2200.0</v>
      </c>
      <c r="Z551" s="8"/>
      <c r="AA551" s="8">
        <v>11.444</v>
      </c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 ht="15.75" customHeight="1">
      <c r="A552" s="6">
        <v>551.0</v>
      </c>
      <c r="B552" s="7">
        <v>49860.0</v>
      </c>
      <c r="C552" s="8">
        <v>71.0</v>
      </c>
      <c r="D552" s="8">
        <v>90.39</v>
      </c>
      <c r="E552" s="8">
        <v>80.31</v>
      </c>
      <c r="F552" s="8">
        <v>71.0</v>
      </c>
      <c r="G552" s="8">
        <v>90.39</v>
      </c>
      <c r="H552" s="8">
        <v>80.31</v>
      </c>
      <c r="I552" s="8">
        <v>30.0</v>
      </c>
      <c r="J552" s="8">
        <v>29.7</v>
      </c>
      <c r="K552" s="8">
        <v>81.7</v>
      </c>
      <c r="L552" s="9">
        <f t="shared" si="1"/>
        <v>172</v>
      </c>
      <c r="M552" s="9">
        <f t="shared" si="2"/>
        <v>110.3604068</v>
      </c>
      <c r="N552" s="9">
        <f t="shared" si="3"/>
        <v>254.4</v>
      </c>
      <c r="O552" s="9">
        <f t="shared" si="4"/>
        <v>255.4</v>
      </c>
      <c r="P552" s="9">
        <f t="shared" si="6"/>
        <v>238.8</v>
      </c>
      <c r="Q552" s="9">
        <f t="shared" ref="Q552:R552" si="551">average(L546:L552)</f>
        <v>230.0285714</v>
      </c>
      <c r="R552" s="9">
        <f t="shared" si="551"/>
        <v>144.2053555</v>
      </c>
      <c r="S552" s="11">
        <v>55.62</v>
      </c>
      <c r="T552" s="11">
        <v>53.38</v>
      </c>
      <c r="U552" s="12">
        <v>3.69</v>
      </c>
      <c r="V552" s="12"/>
      <c r="W552" s="14">
        <f t="shared" si="543"/>
        <v>15.08644708</v>
      </c>
      <c r="X552" s="8">
        <v>26392.0</v>
      </c>
      <c r="Y552" s="8">
        <v>1825.0</v>
      </c>
      <c r="Z552" s="8"/>
      <c r="AA552" s="8">
        <v>10.72</v>
      </c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 ht="15.75" customHeight="1">
      <c r="A553" s="6">
        <v>552.0</v>
      </c>
      <c r="B553" s="7">
        <v>49861.0</v>
      </c>
      <c r="C553" s="8">
        <v>91.4</v>
      </c>
      <c r="D553" s="8">
        <v>82.23</v>
      </c>
      <c r="E553" s="8">
        <v>78.2</v>
      </c>
      <c r="F553" s="8">
        <v>91.4</v>
      </c>
      <c r="G553" s="8">
        <v>82.23</v>
      </c>
      <c r="H553" s="8">
        <v>78.2</v>
      </c>
      <c r="I553" s="8">
        <v>40.0</v>
      </c>
      <c r="J553" s="8">
        <v>23.9</v>
      </c>
      <c r="K553" s="8">
        <v>81.7</v>
      </c>
      <c r="L553" s="9">
        <f t="shared" si="1"/>
        <v>222.8</v>
      </c>
      <c r="M553" s="9">
        <f t="shared" si="2"/>
        <v>125.3579761</v>
      </c>
      <c r="N553" s="9">
        <f t="shared" si="3"/>
        <v>172</v>
      </c>
      <c r="O553" s="9">
        <f t="shared" si="4"/>
        <v>254.4</v>
      </c>
      <c r="P553" s="9">
        <f t="shared" si="6"/>
        <v>251.4</v>
      </c>
      <c r="Q553" s="9">
        <f t="shared" ref="Q553:R553" si="552">average(L547:L553)</f>
        <v>227.7428571</v>
      </c>
      <c r="R553" s="9">
        <f t="shared" si="552"/>
        <v>142.1547564</v>
      </c>
      <c r="S553" s="11">
        <v>55.85</v>
      </c>
      <c r="T553" s="11">
        <v>53.120000000000005</v>
      </c>
      <c r="U553" s="12">
        <v>5.85</v>
      </c>
      <c r="V553" s="12"/>
      <c r="W553" s="14">
        <f t="shared" si="543"/>
        <v>14.90435002</v>
      </c>
      <c r="X553" s="8">
        <v>23809.0</v>
      </c>
      <c r="Y553" s="8">
        <v>2325.0</v>
      </c>
      <c r="Z553" s="8"/>
      <c r="AA553" s="8">
        <v>9.017</v>
      </c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 ht="15.75" customHeight="1">
      <c r="A554" s="6">
        <v>553.0</v>
      </c>
      <c r="B554" s="7">
        <v>49862.0</v>
      </c>
      <c r="C554" s="8">
        <v>118.4</v>
      </c>
      <c r="D554" s="8">
        <v>86.78</v>
      </c>
      <c r="E554" s="8">
        <v>81.89</v>
      </c>
      <c r="F554" s="8">
        <v>118.4</v>
      </c>
      <c r="G554" s="8">
        <v>86.78</v>
      </c>
      <c r="H554" s="8">
        <v>81.89</v>
      </c>
      <c r="I554" s="8">
        <v>30.0</v>
      </c>
      <c r="J554" s="8">
        <v>25.1</v>
      </c>
      <c r="K554" s="8">
        <v>79.6</v>
      </c>
      <c r="L554" s="9">
        <f t="shared" si="1"/>
        <v>266.8</v>
      </c>
      <c r="M554" s="9">
        <f t="shared" si="2"/>
        <v>174.2737683</v>
      </c>
      <c r="N554" s="9">
        <f t="shared" si="3"/>
        <v>222.8</v>
      </c>
      <c r="O554" s="9">
        <f t="shared" si="4"/>
        <v>172</v>
      </c>
      <c r="P554" s="9">
        <f t="shared" si="6"/>
        <v>199.6</v>
      </c>
      <c r="Q554" s="9">
        <f t="shared" ref="Q554:R554" si="553">average(L548:L554)</f>
        <v>229.9428571</v>
      </c>
      <c r="R554" s="9">
        <f t="shared" si="553"/>
        <v>147.2184081</v>
      </c>
      <c r="S554" s="11">
        <v>55.82</v>
      </c>
      <c r="T554" s="11">
        <v>53.11</v>
      </c>
      <c r="U554" s="12">
        <v>5.22</v>
      </c>
      <c r="V554" s="12"/>
      <c r="W554" s="14">
        <f t="shared" si="543"/>
        <v>14.8358719</v>
      </c>
      <c r="X554" s="8">
        <v>26423.0</v>
      </c>
      <c r="Y554" s="8">
        <v>2280.0</v>
      </c>
      <c r="Z554" s="8"/>
      <c r="AA554" s="8">
        <v>10.037</v>
      </c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 ht="15.75" customHeight="1">
      <c r="A555" s="6">
        <v>554.0</v>
      </c>
      <c r="B555" s="7">
        <v>49863.0</v>
      </c>
      <c r="C555" s="8">
        <v>115.6</v>
      </c>
      <c r="D555" s="8">
        <v>79.71</v>
      </c>
      <c r="E555" s="8">
        <v>79.0</v>
      </c>
      <c r="F555" s="8">
        <v>115.6</v>
      </c>
      <c r="G555" s="8">
        <v>79.71</v>
      </c>
      <c r="H555" s="8">
        <v>79.0</v>
      </c>
      <c r="I555" s="8">
        <v>40.0</v>
      </c>
      <c r="J555" s="8">
        <v>22.0</v>
      </c>
      <c r="K555" s="8">
        <v>77.9</v>
      </c>
      <c r="L555" s="9">
        <f t="shared" si="1"/>
        <v>271.2</v>
      </c>
      <c r="M555" s="9">
        <f t="shared" si="2"/>
        <v>152.4439208</v>
      </c>
      <c r="N555" s="9">
        <f t="shared" si="3"/>
        <v>266.8</v>
      </c>
      <c r="O555" s="9">
        <f t="shared" si="4"/>
        <v>222.8</v>
      </c>
      <c r="P555" s="9">
        <f t="shared" si="6"/>
        <v>238.6</v>
      </c>
      <c r="Q555" s="9">
        <f t="shared" ref="Q555:R555" si="554">average(L549:L555)</f>
        <v>240.1714286</v>
      </c>
      <c r="R555" s="9">
        <f t="shared" si="554"/>
        <v>150.3294855</v>
      </c>
      <c r="S555" s="11">
        <v>55.08</v>
      </c>
      <c r="T555" s="11">
        <v>52.849999999999994</v>
      </c>
      <c r="U555" s="12">
        <v>6.31</v>
      </c>
      <c r="V555" s="12"/>
      <c r="W555" s="14">
        <f t="shared" si="543"/>
        <v>14.76311389</v>
      </c>
      <c r="X555" s="8">
        <v>26590.0</v>
      </c>
      <c r="Y555" s="8">
        <v>2550.0</v>
      </c>
      <c r="Z555" s="8"/>
      <c r="AA555" s="8">
        <v>10.622</v>
      </c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 ht="15.75" customHeight="1">
      <c r="A556" s="6">
        <v>555.0</v>
      </c>
      <c r="B556" s="7">
        <v>49864.0</v>
      </c>
      <c r="C556" s="8">
        <v>88.7</v>
      </c>
      <c r="D556" s="8">
        <v>86.79</v>
      </c>
      <c r="E556" s="8">
        <v>82.69</v>
      </c>
      <c r="F556" s="8">
        <v>88.7</v>
      </c>
      <c r="G556" s="8">
        <v>86.79</v>
      </c>
      <c r="H556" s="8">
        <v>82.69</v>
      </c>
      <c r="I556" s="8">
        <v>40.0</v>
      </c>
      <c r="J556" s="8">
        <v>25.6</v>
      </c>
      <c r="K556" s="8">
        <v>80.4</v>
      </c>
      <c r="L556" s="9">
        <f t="shared" si="1"/>
        <v>217.4</v>
      </c>
      <c r="M556" s="9">
        <f t="shared" si="2"/>
        <v>135.5469989</v>
      </c>
      <c r="N556" s="9">
        <f t="shared" si="3"/>
        <v>271.2</v>
      </c>
      <c r="O556" s="9">
        <f t="shared" si="4"/>
        <v>266.8</v>
      </c>
      <c r="P556" s="9">
        <f t="shared" si="6"/>
        <v>255.4</v>
      </c>
      <c r="Q556" s="9">
        <f t="shared" ref="Q556:R556" si="555">average(L550:L556)</f>
        <v>237.1428571</v>
      </c>
      <c r="R556" s="9">
        <f t="shared" si="555"/>
        <v>147.4283217</v>
      </c>
      <c r="S556" s="11">
        <v>53.27</v>
      </c>
      <c r="T556" s="11">
        <v>52.519999999999996</v>
      </c>
      <c r="U556" s="12">
        <v>5.35</v>
      </c>
      <c r="V556" s="12"/>
      <c r="W556" s="14">
        <f t="shared" si="543"/>
        <v>14.81080851</v>
      </c>
      <c r="X556" s="8">
        <v>27161.0</v>
      </c>
      <c r="Y556" s="8">
        <v>2490.0</v>
      </c>
      <c r="Z556" s="8"/>
      <c r="AA556" s="8">
        <v>11.029</v>
      </c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 ht="15.75" customHeight="1">
      <c r="A557" s="6">
        <v>556.0</v>
      </c>
      <c r="B557" s="7">
        <v>49865.0</v>
      </c>
      <c r="C557" s="8">
        <v>107.4</v>
      </c>
      <c r="D557" s="8">
        <v>83.97</v>
      </c>
      <c r="E557" s="8">
        <v>80.47</v>
      </c>
      <c r="F557" s="8">
        <v>107.4</v>
      </c>
      <c r="G557" s="8">
        <v>83.97</v>
      </c>
      <c r="H557" s="8">
        <v>80.47</v>
      </c>
      <c r="I557" s="8">
        <v>40.0</v>
      </c>
      <c r="J557" s="8">
        <v>18.9</v>
      </c>
      <c r="K557" s="8">
        <v>81.4</v>
      </c>
      <c r="L557" s="9">
        <f t="shared" si="1"/>
        <v>254.8</v>
      </c>
      <c r="M557" s="9">
        <f t="shared" si="2"/>
        <v>151.2956155</v>
      </c>
      <c r="N557" s="9">
        <f t="shared" si="3"/>
        <v>217.4</v>
      </c>
      <c r="O557" s="9">
        <f t="shared" si="4"/>
        <v>271.2</v>
      </c>
      <c r="P557" s="9">
        <f t="shared" si="6"/>
        <v>254.4</v>
      </c>
      <c r="Q557" s="9">
        <f t="shared" ref="Q557:R557" si="556">average(L551:L557)</f>
        <v>237.0571429</v>
      </c>
      <c r="R557" s="9">
        <f t="shared" si="556"/>
        <v>146.8668853</v>
      </c>
      <c r="S557" s="11">
        <v>55.65</v>
      </c>
      <c r="T557" s="11">
        <v>52.72</v>
      </c>
      <c r="U557" s="12">
        <v>6.86</v>
      </c>
      <c r="V557" s="12"/>
      <c r="W557" s="14">
        <f t="shared" si="543"/>
        <v>14.79898405</v>
      </c>
      <c r="X557" s="8">
        <v>27375.0</v>
      </c>
      <c r="Y557" s="8">
        <v>2740.0</v>
      </c>
      <c r="Z557" s="8"/>
      <c r="AA557" s="8">
        <v>10.984</v>
      </c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 ht="15.75" customHeight="1">
      <c r="A558" s="6">
        <v>557.0</v>
      </c>
      <c r="B558" s="7">
        <v>49866.0</v>
      </c>
      <c r="C558" s="8">
        <v>104.6</v>
      </c>
      <c r="D558" s="8">
        <v>85.21</v>
      </c>
      <c r="E558" s="8">
        <v>79.73</v>
      </c>
      <c r="F558" s="8">
        <v>104.6</v>
      </c>
      <c r="G558" s="8">
        <v>85.21</v>
      </c>
      <c r="H558" s="8">
        <v>79.73</v>
      </c>
      <c r="I558" s="8">
        <v>40.0</v>
      </c>
      <c r="J558" s="8">
        <v>23.9</v>
      </c>
      <c r="K558" s="8">
        <v>81.7</v>
      </c>
      <c r="L558" s="9">
        <f t="shared" si="1"/>
        <v>249.2</v>
      </c>
      <c r="M558" s="9">
        <f t="shared" si="2"/>
        <v>149.9366758</v>
      </c>
      <c r="N558" s="9">
        <f t="shared" si="3"/>
        <v>254.8</v>
      </c>
      <c r="O558" s="9">
        <f t="shared" si="4"/>
        <v>217.4</v>
      </c>
      <c r="P558" s="9">
        <f t="shared" si="6"/>
        <v>172</v>
      </c>
      <c r="Q558" s="9">
        <f t="shared" ref="Q558:R558" si="557">average(L552:L558)</f>
        <v>236.3142857</v>
      </c>
      <c r="R558" s="9">
        <f t="shared" si="557"/>
        <v>142.7450517</v>
      </c>
      <c r="S558" s="11">
        <v>54.57</v>
      </c>
      <c r="T558" s="11">
        <v>52.9125</v>
      </c>
      <c r="U558" s="12">
        <v>10.7</v>
      </c>
      <c r="V558" s="12"/>
      <c r="W558" s="14">
        <f t="shared" si="543"/>
        <v>14.78642055</v>
      </c>
      <c r="X558" s="8">
        <v>25260.0</v>
      </c>
      <c r="Y558" s="8">
        <v>2460.0</v>
      </c>
      <c r="Z558" s="8"/>
      <c r="AA558" s="8">
        <v>10.252</v>
      </c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 ht="15.75" customHeight="1">
      <c r="A559" s="6">
        <v>558.0</v>
      </c>
      <c r="B559" s="7">
        <v>49867.0</v>
      </c>
      <c r="C559" s="8">
        <v>86.1</v>
      </c>
      <c r="D559" s="8">
        <v>87.88</v>
      </c>
      <c r="E559" s="8">
        <v>83.31</v>
      </c>
      <c r="F559" s="8">
        <v>86.1</v>
      </c>
      <c r="G559" s="8">
        <v>87.88</v>
      </c>
      <c r="H559" s="8">
        <v>83.31</v>
      </c>
      <c r="I559" s="8">
        <v>40.0</v>
      </c>
      <c r="J559" s="8">
        <v>26.9</v>
      </c>
      <c r="K559" s="8">
        <v>81.5</v>
      </c>
      <c r="L559" s="9">
        <f t="shared" si="1"/>
        <v>212.2</v>
      </c>
      <c r="M559" s="9">
        <f t="shared" si="2"/>
        <v>134.8418898</v>
      </c>
      <c r="N559" s="9">
        <f t="shared" si="3"/>
        <v>249.2</v>
      </c>
      <c r="O559" s="9">
        <f t="shared" si="4"/>
        <v>254.8</v>
      </c>
      <c r="P559" s="9">
        <f t="shared" si="6"/>
        <v>222.8</v>
      </c>
      <c r="Q559" s="9">
        <f t="shared" ref="Q559:R559" si="558">average(L553:L559)</f>
        <v>242.0571429</v>
      </c>
      <c r="R559" s="9">
        <f t="shared" si="558"/>
        <v>146.2424065</v>
      </c>
      <c r="S559" s="11">
        <v>54.05</v>
      </c>
      <c r="T559" s="11">
        <v>52.527499999999996</v>
      </c>
      <c r="U559" s="12">
        <v>6.43</v>
      </c>
      <c r="V559" s="12"/>
      <c r="W559" s="14">
        <f t="shared" si="543"/>
        <v>15.08557183</v>
      </c>
      <c r="X559" s="8">
        <v>27069.0</v>
      </c>
      <c r="Y559" s="8">
        <v>1700.0</v>
      </c>
      <c r="Z559" s="8"/>
      <c r="AA559" s="8">
        <v>11.133</v>
      </c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 ht="15.75" customHeight="1">
      <c r="A560" s="6">
        <v>559.0</v>
      </c>
      <c r="B560" s="7">
        <v>49868.0</v>
      </c>
      <c r="C560" s="8">
        <v>80.1</v>
      </c>
      <c r="D560" s="8">
        <v>87.71</v>
      </c>
      <c r="E560" s="8">
        <v>81.46</v>
      </c>
      <c r="F560" s="8">
        <v>80.1</v>
      </c>
      <c r="G560" s="8">
        <v>87.71</v>
      </c>
      <c r="H560" s="8">
        <v>81.46</v>
      </c>
      <c r="I560" s="8">
        <v>40.0</v>
      </c>
      <c r="J560" s="8">
        <v>26.2</v>
      </c>
      <c r="K560" s="8">
        <v>80.0</v>
      </c>
      <c r="L560" s="9">
        <f t="shared" si="1"/>
        <v>200.2</v>
      </c>
      <c r="M560" s="9">
        <f t="shared" si="2"/>
        <v>122.8446027</v>
      </c>
      <c r="N560" s="9">
        <f t="shared" si="3"/>
        <v>212.2</v>
      </c>
      <c r="O560" s="9">
        <f t="shared" si="4"/>
        <v>249.2</v>
      </c>
      <c r="P560" s="9">
        <f t="shared" si="6"/>
        <v>266.8</v>
      </c>
      <c r="Q560" s="9">
        <f t="shared" ref="Q560:R560" si="559">average(L554:L560)</f>
        <v>238.8285714</v>
      </c>
      <c r="R560" s="9">
        <f t="shared" si="559"/>
        <v>145.8833531</v>
      </c>
      <c r="S560" s="11">
        <v>56.98</v>
      </c>
      <c r="T560" s="11">
        <v>52.9575</v>
      </c>
      <c r="U560" s="12">
        <v>8.64</v>
      </c>
      <c r="V560" s="12"/>
      <c r="W560" s="14">
        <f t="shared" si="543"/>
        <v>15.07138882</v>
      </c>
      <c r="X560" s="8">
        <v>24442.0</v>
      </c>
      <c r="Y560" s="8">
        <v>2230.0</v>
      </c>
      <c r="Z560" s="8"/>
      <c r="AA560" s="8">
        <v>10.273</v>
      </c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 ht="15.75" customHeight="1">
      <c r="A561" s="6">
        <v>560.0</v>
      </c>
      <c r="B561" s="7">
        <v>49869.0</v>
      </c>
      <c r="C561" s="8">
        <v>106.9</v>
      </c>
      <c r="D561" s="8">
        <v>87.44</v>
      </c>
      <c r="E561" s="8">
        <v>82.88</v>
      </c>
      <c r="F561" s="8">
        <v>106.9</v>
      </c>
      <c r="G561" s="8">
        <v>87.44</v>
      </c>
      <c r="H561" s="8">
        <v>82.88</v>
      </c>
      <c r="I561" s="8">
        <v>40.0</v>
      </c>
      <c r="J561" s="8">
        <v>22.8</v>
      </c>
      <c r="K561" s="8">
        <v>82.0</v>
      </c>
      <c r="L561" s="9">
        <f t="shared" si="1"/>
        <v>253.8</v>
      </c>
      <c r="M561" s="9">
        <f t="shared" si="2"/>
        <v>162.4198415</v>
      </c>
      <c r="N561" s="9">
        <f t="shared" si="3"/>
        <v>200.2</v>
      </c>
      <c r="O561" s="9">
        <f t="shared" si="4"/>
        <v>212.2</v>
      </c>
      <c r="P561" s="9">
        <f t="shared" si="6"/>
        <v>271.2</v>
      </c>
      <c r="Q561" s="9">
        <f t="shared" ref="Q561:R561" si="560">average(L555:L561)</f>
        <v>236.9714286</v>
      </c>
      <c r="R561" s="9">
        <f t="shared" si="560"/>
        <v>144.189935</v>
      </c>
      <c r="S561" s="11">
        <v>56.2</v>
      </c>
      <c r="T561" s="11">
        <v>52.8</v>
      </c>
      <c r="U561" s="12">
        <v>8.56</v>
      </c>
      <c r="V561" s="12"/>
      <c r="W561" s="14">
        <f t="shared" si="543"/>
        <v>15.05119242</v>
      </c>
      <c r="X561" s="8">
        <v>23861.0</v>
      </c>
      <c r="Y561" s="8">
        <v>2133.0</v>
      </c>
      <c r="Z561" s="8"/>
      <c r="AA561" s="8">
        <v>10.019</v>
      </c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 ht="15.75" customHeight="1">
      <c r="A562" s="6">
        <v>561.0</v>
      </c>
      <c r="B562" s="7">
        <v>49870.0</v>
      </c>
      <c r="C562" s="8">
        <v>125.0</v>
      </c>
      <c r="D562" s="8">
        <v>86.12</v>
      </c>
      <c r="E562" s="8">
        <v>81.83</v>
      </c>
      <c r="F562" s="8">
        <v>125.0</v>
      </c>
      <c r="G562" s="8">
        <v>86.12</v>
      </c>
      <c r="H562" s="8">
        <v>81.83</v>
      </c>
      <c r="I562" s="8">
        <v>40.0</v>
      </c>
      <c r="J562" s="8">
        <v>26.7</v>
      </c>
      <c r="K562" s="8">
        <v>75.6</v>
      </c>
      <c r="L562" s="9">
        <f t="shared" si="1"/>
        <v>290</v>
      </c>
      <c r="M562" s="9">
        <f t="shared" si="2"/>
        <v>184.25407</v>
      </c>
      <c r="N562" s="9">
        <f t="shared" si="3"/>
        <v>253.8</v>
      </c>
      <c r="O562" s="9">
        <f t="shared" si="4"/>
        <v>200.2</v>
      </c>
      <c r="P562" s="9">
        <f t="shared" si="6"/>
        <v>217.4</v>
      </c>
      <c r="Q562" s="9">
        <f t="shared" ref="Q562:R562" si="561">average(L556:L562)</f>
        <v>239.6571429</v>
      </c>
      <c r="R562" s="9">
        <f t="shared" si="561"/>
        <v>148.734242</v>
      </c>
      <c r="S562" s="11">
        <v>55.09</v>
      </c>
      <c r="T562" s="11">
        <v>52.9925</v>
      </c>
      <c r="U562" s="12">
        <v>9.59</v>
      </c>
      <c r="V562" s="12"/>
      <c r="W562" s="14">
        <f t="shared" si="543"/>
        <v>15.03209886</v>
      </c>
      <c r="X562" s="8">
        <v>24459.0</v>
      </c>
      <c r="Y562" s="8">
        <v>1995.0</v>
      </c>
      <c r="Z562" s="8"/>
      <c r="AA562" s="8">
        <v>10.261</v>
      </c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 ht="15.75" customHeight="1">
      <c r="A563" s="6">
        <v>562.0</v>
      </c>
      <c r="B563" s="7">
        <v>49871.0</v>
      </c>
      <c r="C563" s="8">
        <v>118.7</v>
      </c>
      <c r="D563" s="8">
        <v>86.58</v>
      </c>
      <c r="E563" s="8">
        <v>78.95</v>
      </c>
      <c r="F563" s="8">
        <v>118.7</v>
      </c>
      <c r="G563" s="8">
        <v>86.58</v>
      </c>
      <c r="H563" s="8">
        <v>78.95</v>
      </c>
      <c r="I563" s="8">
        <v>40.0</v>
      </c>
      <c r="J563" s="8">
        <v>27.4</v>
      </c>
      <c r="K563" s="8">
        <v>81.4</v>
      </c>
      <c r="L563" s="9">
        <f t="shared" si="1"/>
        <v>277.4</v>
      </c>
      <c r="M563" s="9">
        <f t="shared" si="2"/>
        <v>171.1959963</v>
      </c>
      <c r="N563" s="9">
        <f t="shared" si="3"/>
        <v>290</v>
      </c>
      <c r="O563" s="9">
        <f t="shared" si="4"/>
        <v>253.8</v>
      </c>
      <c r="P563" s="9">
        <f t="shared" si="6"/>
        <v>254.8</v>
      </c>
      <c r="Q563" s="9">
        <f t="shared" ref="Q563:R563" si="562">average(L557:L563)</f>
        <v>248.2285714</v>
      </c>
      <c r="R563" s="9">
        <f t="shared" si="562"/>
        <v>153.826956</v>
      </c>
      <c r="S563" s="11">
        <v>54.33</v>
      </c>
      <c r="T563" s="11">
        <v>52.62</v>
      </c>
      <c r="U563" s="12">
        <v>11.04</v>
      </c>
      <c r="V563" s="12"/>
      <c r="W563" s="14">
        <f t="shared" si="543"/>
        <v>15.00651238</v>
      </c>
      <c r="X563" s="8">
        <v>26356.0</v>
      </c>
      <c r="Y563" s="8">
        <v>2277.0</v>
      </c>
      <c r="Z563" s="8"/>
      <c r="AA563" s="8">
        <v>11.071</v>
      </c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 ht="15.75" customHeight="1">
      <c r="A564" s="6">
        <v>563.0</v>
      </c>
      <c r="B564" s="7">
        <v>49872.0</v>
      </c>
      <c r="C564" s="8">
        <v>120.4</v>
      </c>
      <c r="D564" s="8">
        <v>93.7</v>
      </c>
      <c r="E564" s="8">
        <v>81.37</v>
      </c>
      <c r="F564" s="8">
        <v>120.4</v>
      </c>
      <c r="G564" s="8">
        <v>93.7</v>
      </c>
      <c r="H564" s="8">
        <v>81.37</v>
      </c>
      <c r="I564" s="8">
        <v>40.0</v>
      </c>
      <c r="J564" s="8">
        <v>27.3</v>
      </c>
      <c r="K564" s="8">
        <v>81.5</v>
      </c>
      <c r="L564" s="9">
        <f t="shared" si="1"/>
        <v>280.8</v>
      </c>
      <c r="M564" s="9">
        <f t="shared" si="2"/>
        <v>192.4946055</v>
      </c>
      <c r="N564" s="9">
        <f t="shared" si="3"/>
        <v>277.4</v>
      </c>
      <c r="O564" s="9">
        <f t="shared" si="4"/>
        <v>290</v>
      </c>
      <c r="P564" s="9">
        <f t="shared" si="6"/>
        <v>249.2</v>
      </c>
      <c r="Q564" s="9">
        <f t="shared" ref="Q564:R564" si="563">average(L558:L564)</f>
        <v>251.9428571</v>
      </c>
      <c r="R564" s="9">
        <f t="shared" si="563"/>
        <v>159.712526</v>
      </c>
      <c r="S564" s="11">
        <v>54.47</v>
      </c>
      <c r="T564" s="11">
        <v>53.057500000000005</v>
      </c>
      <c r="U564" s="12">
        <v>11.96</v>
      </c>
      <c r="V564" s="12"/>
      <c r="W564" s="14">
        <f t="shared" si="543"/>
        <v>15.0010397</v>
      </c>
      <c r="X564" s="8">
        <v>27910.0</v>
      </c>
      <c r="Y564" s="8">
        <v>2525.0</v>
      </c>
      <c r="Z564" s="8"/>
      <c r="AA564" s="8">
        <v>11.953</v>
      </c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 ht="15.75" customHeight="1">
      <c r="A565" s="6">
        <v>564.0</v>
      </c>
      <c r="B565" s="7">
        <v>49873.0</v>
      </c>
      <c r="C565" s="8">
        <v>121.6</v>
      </c>
      <c r="D565" s="8">
        <v>87.13</v>
      </c>
      <c r="E565" s="8">
        <v>84.58</v>
      </c>
      <c r="F565" s="8">
        <v>121.6</v>
      </c>
      <c r="G565" s="8">
        <v>87.13</v>
      </c>
      <c r="H565" s="8">
        <v>84.58</v>
      </c>
      <c r="I565" s="8">
        <v>40.0</v>
      </c>
      <c r="J565" s="8">
        <v>28.7</v>
      </c>
      <c r="K565" s="8">
        <v>80.7</v>
      </c>
      <c r="L565" s="9">
        <f t="shared" si="1"/>
        <v>283.2</v>
      </c>
      <c r="M565" s="9">
        <f t="shared" si="2"/>
        <v>188.4895153</v>
      </c>
      <c r="N565" s="9">
        <f t="shared" si="3"/>
        <v>280.8</v>
      </c>
      <c r="O565" s="9">
        <f t="shared" si="4"/>
        <v>277.4</v>
      </c>
      <c r="P565" s="9">
        <f t="shared" si="6"/>
        <v>212.2</v>
      </c>
      <c r="Q565" s="9">
        <f t="shared" ref="Q565:R565" si="564">average(L559:L565)</f>
        <v>256.8</v>
      </c>
      <c r="R565" s="9">
        <f t="shared" si="564"/>
        <v>165.2200745</v>
      </c>
      <c r="S565" s="11">
        <v>53.55</v>
      </c>
      <c r="T565" s="11">
        <v>51.9425</v>
      </c>
      <c r="U565" s="12">
        <v>10.78</v>
      </c>
      <c r="V565" s="12"/>
      <c r="W565" s="14">
        <f t="shared" si="543"/>
        <v>14.99095125</v>
      </c>
      <c r="X565" s="8">
        <v>28401.0</v>
      </c>
      <c r="Y565" s="8">
        <v>2460.0</v>
      </c>
      <c r="Z565" s="8"/>
      <c r="AA565" s="8">
        <v>12.389</v>
      </c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 ht="15.75" customHeight="1">
      <c r="A566" s="6">
        <v>565.0</v>
      </c>
      <c r="B566" s="7">
        <v>49874.0</v>
      </c>
      <c r="C566" s="8">
        <v>125.6</v>
      </c>
      <c r="D566" s="8">
        <v>92.0</v>
      </c>
      <c r="E566" s="8">
        <v>83.44</v>
      </c>
      <c r="F566" s="8">
        <v>125.6</v>
      </c>
      <c r="G566" s="8">
        <v>92.0</v>
      </c>
      <c r="H566" s="8">
        <v>83.44</v>
      </c>
      <c r="I566" s="8">
        <v>40.0</v>
      </c>
      <c r="J566" s="8">
        <v>34.5</v>
      </c>
      <c r="K566" s="8">
        <v>83.5</v>
      </c>
      <c r="L566" s="9">
        <f t="shared" si="1"/>
        <v>291.2</v>
      </c>
      <c r="M566" s="9">
        <f t="shared" si="2"/>
        <v>204.3561776</v>
      </c>
      <c r="N566" s="9">
        <f t="shared" si="3"/>
        <v>283.2</v>
      </c>
      <c r="O566" s="9">
        <f t="shared" si="4"/>
        <v>280.8</v>
      </c>
      <c r="P566" s="9">
        <f t="shared" si="6"/>
        <v>200.2</v>
      </c>
      <c r="Q566" s="9">
        <f t="shared" ref="Q566:R566" si="565">average(L560:L566)</f>
        <v>268.0857143</v>
      </c>
      <c r="R566" s="9">
        <f t="shared" si="565"/>
        <v>175.150687</v>
      </c>
      <c r="S566" s="11">
        <v>54.37</v>
      </c>
      <c r="T566" s="11">
        <v>51.86</v>
      </c>
      <c r="U566" s="12">
        <v>11.5</v>
      </c>
      <c r="V566" s="12"/>
      <c r="W566" s="14">
        <f t="shared" si="543"/>
        <v>14.97569143</v>
      </c>
      <c r="X566" s="8">
        <v>29591.0</v>
      </c>
      <c r="Y566" s="8">
        <v>2465.0</v>
      </c>
      <c r="Z566" s="8"/>
      <c r="AA566" s="8">
        <v>12.287</v>
      </c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 ht="15.75" customHeight="1">
      <c r="A567" s="6">
        <v>566.0</v>
      </c>
      <c r="B567" s="7">
        <v>49875.0</v>
      </c>
      <c r="C567" s="8">
        <v>125.5</v>
      </c>
      <c r="D567" s="8">
        <v>90.14</v>
      </c>
      <c r="E567" s="8">
        <v>82.56</v>
      </c>
      <c r="F567" s="8">
        <v>125.5</v>
      </c>
      <c r="G567" s="8">
        <v>90.14</v>
      </c>
      <c r="H567" s="8">
        <v>82.56</v>
      </c>
      <c r="I567" s="8">
        <v>40.0</v>
      </c>
      <c r="J567" s="8">
        <v>31.0</v>
      </c>
      <c r="K567" s="8">
        <v>83.9</v>
      </c>
      <c r="L567" s="9">
        <f t="shared" si="1"/>
        <v>291</v>
      </c>
      <c r="M567" s="9">
        <f t="shared" si="2"/>
        <v>197.1967558</v>
      </c>
      <c r="N567" s="9">
        <f t="shared" si="3"/>
        <v>291.2</v>
      </c>
      <c r="O567" s="9">
        <f t="shared" si="4"/>
        <v>283.2</v>
      </c>
      <c r="P567" s="9">
        <f t="shared" si="6"/>
        <v>253.8</v>
      </c>
      <c r="Q567" s="9">
        <f t="shared" ref="Q567:R567" si="566">average(L561:L567)</f>
        <v>281.0571429</v>
      </c>
      <c r="R567" s="9">
        <f t="shared" si="566"/>
        <v>185.7724232</v>
      </c>
      <c r="S567" s="11">
        <v>55.46</v>
      </c>
      <c r="T567" s="11">
        <v>52.24250000000001</v>
      </c>
      <c r="U567" s="12">
        <v>12.43</v>
      </c>
      <c r="V567" s="12"/>
      <c r="W567" s="14">
        <f t="shared" si="543"/>
        <v>14.96246573</v>
      </c>
      <c r="X567" s="8">
        <v>31773.0</v>
      </c>
      <c r="Y567" s="8">
        <v>2745.0</v>
      </c>
      <c r="Z567" s="8"/>
      <c r="AA567" s="8">
        <v>12.701</v>
      </c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 ht="15.75" customHeight="1">
      <c r="A568" s="6">
        <v>567.0</v>
      </c>
      <c r="B568" s="7">
        <v>49876.0</v>
      </c>
      <c r="C568" s="8">
        <v>125.9</v>
      </c>
      <c r="D568" s="8">
        <v>91.32</v>
      </c>
      <c r="E568" s="8">
        <v>79.85</v>
      </c>
      <c r="F568" s="8">
        <v>125.9</v>
      </c>
      <c r="G568" s="8">
        <v>91.32</v>
      </c>
      <c r="H568" s="8">
        <v>79.85</v>
      </c>
      <c r="I568" s="8">
        <v>40.0</v>
      </c>
      <c r="J568" s="8">
        <v>26.2</v>
      </c>
      <c r="K568" s="8">
        <v>82.1</v>
      </c>
      <c r="L568" s="9">
        <f t="shared" si="1"/>
        <v>291.8</v>
      </c>
      <c r="M568" s="9">
        <f t="shared" si="2"/>
        <v>192.2141724</v>
      </c>
      <c r="N568" s="9">
        <f t="shared" si="3"/>
        <v>291</v>
      </c>
      <c r="O568" s="9">
        <f t="shared" si="4"/>
        <v>291.2</v>
      </c>
      <c r="P568" s="9">
        <f t="shared" si="6"/>
        <v>290</v>
      </c>
      <c r="Q568" s="9">
        <f t="shared" ref="Q568:R568" si="567">average(L562:L568)</f>
        <v>286.4857143</v>
      </c>
      <c r="R568" s="9">
        <f t="shared" si="567"/>
        <v>190.0287561</v>
      </c>
      <c r="S568" s="11">
        <v>55.83</v>
      </c>
      <c r="T568" s="11">
        <v>52.777499999999996</v>
      </c>
      <c r="U568" s="12">
        <v>12.71</v>
      </c>
      <c r="V568" s="12"/>
      <c r="W568" s="14">
        <f t="shared" si="543"/>
        <v>14.94768178</v>
      </c>
      <c r="X568" s="8">
        <v>39690.0</v>
      </c>
      <c r="Y568" s="8">
        <v>2555.0</v>
      </c>
      <c r="Z568" s="8"/>
      <c r="AA568" s="8">
        <v>15.026</v>
      </c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 ht="15.75" customHeight="1">
      <c r="A569" s="6">
        <v>568.0</v>
      </c>
      <c r="B569" s="7">
        <v>49877.0</v>
      </c>
      <c r="C569" s="8">
        <v>125.6</v>
      </c>
      <c r="D569" s="8">
        <v>86.8</v>
      </c>
      <c r="E569" s="8">
        <v>79.71</v>
      </c>
      <c r="F569" s="8">
        <v>125.6</v>
      </c>
      <c r="G569" s="8">
        <v>86.8</v>
      </c>
      <c r="H569" s="8">
        <v>79.71</v>
      </c>
      <c r="I569" s="8">
        <v>40.0</v>
      </c>
      <c r="J569" s="8">
        <v>31.4</v>
      </c>
      <c r="K569" s="8">
        <v>83.2</v>
      </c>
      <c r="L569" s="9">
        <f t="shared" si="1"/>
        <v>291.2</v>
      </c>
      <c r="M569" s="9">
        <f t="shared" si="2"/>
        <v>184.2508794</v>
      </c>
      <c r="N569" s="9">
        <f t="shared" si="3"/>
        <v>291.8</v>
      </c>
      <c r="O569" s="9">
        <f t="shared" si="4"/>
        <v>291</v>
      </c>
      <c r="P569" s="9">
        <f t="shared" si="6"/>
        <v>277.4</v>
      </c>
      <c r="Q569" s="9">
        <f t="shared" ref="Q569:R569" si="568">average(L563:L569)</f>
        <v>286.6571429</v>
      </c>
      <c r="R569" s="9">
        <f t="shared" si="568"/>
        <v>190.0283003</v>
      </c>
      <c r="S569" s="11">
        <v>56.27</v>
      </c>
      <c r="T569" s="11">
        <v>52.5725</v>
      </c>
      <c r="U569" s="12">
        <v>11.18</v>
      </c>
      <c r="V569" s="12"/>
      <c r="W569" s="14">
        <f t="shared" si="543"/>
        <v>14.93900894</v>
      </c>
      <c r="X569" s="8">
        <v>34713.0</v>
      </c>
      <c r="Y569" s="8">
        <v>2170.0</v>
      </c>
      <c r="Z569" s="8"/>
      <c r="AA569" s="8">
        <v>14.087</v>
      </c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 ht="15.75" customHeight="1">
      <c r="A570" s="6">
        <v>569.0</v>
      </c>
      <c r="B570" s="7">
        <v>49878.0</v>
      </c>
      <c r="C570" s="8">
        <v>125.4</v>
      </c>
      <c r="D570" s="8">
        <v>87.83</v>
      </c>
      <c r="E570" s="8">
        <v>77.06</v>
      </c>
      <c r="F570" s="8">
        <v>125.4</v>
      </c>
      <c r="G570" s="8">
        <v>87.83</v>
      </c>
      <c r="H570" s="8">
        <v>77.06</v>
      </c>
      <c r="I570" s="8">
        <v>40.0</v>
      </c>
      <c r="J570" s="8">
        <v>28.6</v>
      </c>
      <c r="K570" s="8">
        <v>75.2</v>
      </c>
      <c r="L570" s="9">
        <f t="shared" si="1"/>
        <v>290.8</v>
      </c>
      <c r="M570" s="9">
        <f t="shared" si="2"/>
        <v>178.3488294</v>
      </c>
      <c r="N570" s="9">
        <f t="shared" si="3"/>
        <v>291.2</v>
      </c>
      <c r="O570" s="9">
        <f t="shared" si="4"/>
        <v>291.8</v>
      </c>
      <c r="P570" s="9">
        <f t="shared" si="6"/>
        <v>280.8</v>
      </c>
      <c r="Q570" s="9">
        <f t="shared" ref="Q570:R570" si="569">average(L564:L570)</f>
        <v>288.5714286</v>
      </c>
      <c r="R570" s="9">
        <f t="shared" si="569"/>
        <v>191.0501336</v>
      </c>
      <c r="S570" s="11">
        <v>55.89</v>
      </c>
      <c r="T570" s="11">
        <v>53.1625</v>
      </c>
      <c r="U570" s="12">
        <v>12.81</v>
      </c>
      <c r="V570" s="12"/>
      <c r="W570" s="14">
        <f t="shared" si="543"/>
        <v>14.94117513</v>
      </c>
      <c r="X570" s="8">
        <v>34858.0</v>
      </c>
      <c r="Y570" s="8">
        <v>2555.0</v>
      </c>
      <c r="Z570" s="8"/>
      <c r="AA570" s="8">
        <v>14.081</v>
      </c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 ht="15.75" customHeight="1">
      <c r="A571" s="6">
        <v>570.0</v>
      </c>
      <c r="B571" s="7">
        <v>49879.0</v>
      </c>
      <c r="C571" s="8">
        <v>127.4</v>
      </c>
      <c r="D571" s="8">
        <v>90.05</v>
      </c>
      <c r="E571" s="8">
        <v>84.04</v>
      </c>
      <c r="F571" s="8">
        <v>127.4</v>
      </c>
      <c r="G571" s="8">
        <v>90.05</v>
      </c>
      <c r="H571" s="8">
        <v>84.04</v>
      </c>
      <c r="I571" s="8">
        <v>40.0</v>
      </c>
      <c r="J571" s="8">
        <v>26.7</v>
      </c>
      <c r="K571" s="8">
        <v>80.6</v>
      </c>
      <c r="L571" s="9">
        <f t="shared" si="1"/>
        <v>294.8</v>
      </c>
      <c r="M571" s="9">
        <f t="shared" si="2"/>
        <v>201.435675</v>
      </c>
      <c r="N571" s="9">
        <f t="shared" si="3"/>
        <v>290.8</v>
      </c>
      <c r="O571" s="9">
        <f t="shared" si="4"/>
        <v>291.2</v>
      </c>
      <c r="P571" s="9">
        <f t="shared" si="6"/>
        <v>283.2</v>
      </c>
      <c r="Q571" s="9">
        <f t="shared" ref="Q571:R571" si="570">average(L565:L571)</f>
        <v>290.5714286</v>
      </c>
      <c r="R571" s="9">
        <f t="shared" si="570"/>
        <v>192.3274293</v>
      </c>
      <c r="S571" s="11">
        <v>54.72</v>
      </c>
      <c r="T571" s="11">
        <v>52.722500000000004</v>
      </c>
      <c r="U571" s="12">
        <v>9.35</v>
      </c>
      <c r="V571" s="12"/>
      <c r="W571" s="14">
        <f t="shared" si="543"/>
        <v>14.94775658</v>
      </c>
      <c r="X571" s="8">
        <v>33938.0</v>
      </c>
      <c r="Y571" s="8">
        <v>2070.0</v>
      </c>
      <c r="Z571" s="8"/>
      <c r="AA571" s="8">
        <v>14.02</v>
      </c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 ht="15.75" customHeight="1">
      <c r="A572" s="6">
        <v>571.0</v>
      </c>
      <c r="B572" s="7">
        <v>49880.0</v>
      </c>
      <c r="C572" s="8">
        <v>125.2</v>
      </c>
      <c r="D572" s="8">
        <v>90.0</v>
      </c>
      <c r="E572" s="8">
        <v>82.28</v>
      </c>
      <c r="F572" s="8">
        <v>125.2</v>
      </c>
      <c r="G572" s="8">
        <v>90.0</v>
      </c>
      <c r="H572" s="8">
        <v>82.28</v>
      </c>
      <c r="I572" s="8">
        <v>40.0</v>
      </c>
      <c r="J572" s="8">
        <v>28.4</v>
      </c>
      <c r="K572" s="8">
        <v>79.0</v>
      </c>
      <c r="L572" s="9">
        <f t="shared" si="1"/>
        <v>290.4</v>
      </c>
      <c r="M572" s="9">
        <f t="shared" si="2"/>
        <v>194.400608</v>
      </c>
      <c r="N572" s="9">
        <f t="shared" si="3"/>
        <v>294.8</v>
      </c>
      <c r="O572" s="9">
        <f t="shared" si="4"/>
        <v>290.8</v>
      </c>
      <c r="P572" s="9">
        <f t="shared" si="6"/>
        <v>291.2</v>
      </c>
      <c r="Q572" s="9">
        <f t="shared" ref="Q572:R572" si="571">average(L566:L572)</f>
        <v>291.6</v>
      </c>
      <c r="R572" s="9">
        <f t="shared" si="571"/>
        <v>193.1718711</v>
      </c>
      <c r="S572" s="11">
        <v>54.59</v>
      </c>
      <c r="T572" s="11">
        <v>52.785</v>
      </c>
      <c r="U572" s="12">
        <v>12.73</v>
      </c>
      <c r="V572" s="12"/>
      <c r="W572" s="14">
        <f t="shared" si="543"/>
        <v>14.95929675</v>
      </c>
      <c r="X572" s="8">
        <v>34674.0</v>
      </c>
      <c r="Y572" s="8">
        <v>2455.0</v>
      </c>
      <c r="Z572" s="8"/>
      <c r="AA572" s="8">
        <v>14.06</v>
      </c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 ht="15.75" customHeight="1">
      <c r="A573" s="6">
        <v>572.0</v>
      </c>
      <c r="B573" s="7">
        <v>49881.0</v>
      </c>
      <c r="C573" s="8">
        <v>125.5</v>
      </c>
      <c r="D573" s="8">
        <v>84.38</v>
      </c>
      <c r="E573" s="8">
        <v>82.28</v>
      </c>
      <c r="F573" s="8">
        <v>125.5</v>
      </c>
      <c r="G573" s="8">
        <v>84.38</v>
      </c>
      <c r="H573" s="8">
        <v>82.28</v>
      </c>
      <c r="I573" s="8">
        <v>40.0</v>
      </c>
      <c r="J573" s="8">
        <v>36.1</v>
      </c>
      <c r="K573" s="8">
        <v>83.5</v>
      </c>
      <c r="L573" s="9">
        <f t="shared" si="1"/>
        <v>291</v>
      </c>
      <c r="M573" s="9">
        <f t="shared" si="2"/>
        <v>186.3213386</v>
      </c>
      <c r="N573" s="9">
        <f t="shared" si="3"/>
        <v>290.4</v>
      </c>
      <c r="O573" s="9">
        <f t="shared" si="4"/>
        <v>294.8</v>
      </c>
      <c r="P573" s="9">
        <f t="shared" si="6"/>
        <v>291</v>
      </c>
      <c r="Q573" s="9">
        <f t="shared" ref="Q573:R573" si="572">average(L567:L573)</f>
        <v>291.5714286</v>
      </c>
      <c r="R573" s="9">
        <f t="shared" si="572"/>
        <v>190.5954655</v>
      </c>
      <c r="S573" s="11">
        <v>54.68</v>
      </c>
      <c r="T573" s="11">
        <v>52.730000000000004</v>
      </c>
      <c r="U573" s="12">
        <v>11.01</v>
      </c>
      <c r="V573" s="12"/>
      <c r="W573" s="14">
        <f t="shared" si="543"/>
        <v>14.96857726</v>
      </c>
      <c r="X573" s="8">
        <v>33209.0</v>
      </c>
      <c r="Y573" s="8">
        <v>2130.0</v>
      </c>
      <c r="Z573" s="8"/>
      <c r="AA573" s="8">
        <v>14.073</v>
      </c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 ht="15.75" customHeight="1">
      <c r="A574" s="6">
        <v>573.0</v>
      </c>
      <c r="B574" s="7">
        <v>49882.0</v>
      </c>
      <c r="C574" s="8">
        <v>125.1</v>
      </c>
      <c r="D574" s="8">
        <v>90.18</v>
      </c>
      <c r="E574" s="8">
        <v>80.31</v>
      </c>
      <c r="F574" s="8">
        <v>125.1</v>
      </c>
      <c r="G574" s="8">
        <v>90.18</v>
      </c>
      <c r="H574" s="8">
        <v>80.31</v>
      </c>
      <c r="I574" s="8">
        <v>40.0</v>
      </c>
      <c r="J574" s="8">
        <v>27.7</v>
      </c>
      <c r="K574" s="8">
        <v>82.2</v>
      </c>
      <c r="L574" s="9">
        <f t="shared" si="1"/>
        <v>290.2</v>
      </c>
      <c r="M574" s="9">
        <f t="shared" si="2"/>
        <v>190.3115021</v>
      </c>
      <c r="N574" s="9">
        <f t="shared" si="3"/>
        <v>291</v>
      </c>
      <c r="O574" s="9">
        <f t="shared" si="4"/>
        <v>290.4</v>
      </c>
      <c r="P574" s="9">
        <f t="shared" si="6"/>
        <v>291.8</v>
      </c>
      <c r="Q574" s="9">
        <f t="shared" ref="Q574:R574" si="573">average(L568:L574)</f>
        <v>291.4571429</v>
      </c>
      <c r="R574" s="9">
        <f t="shared" si="573"/>
        <v>189.6118578</v>
      </c>
      <c r="S574" s="11">
        <v>54.72</v>
      </c>
      <c r="T574" s="11">
        <v>52.66</v>
      </c>
      <c r="U574" s="12">
        <v>10.65</v>
      </c>
      <c r="V574" s="12"/>
      <c r="W574" s="14">
        <f t="shared" si="543"/>
        <v>14.97917684</v>
      </c>
      <c r="X574" s="8">
        <v>32706.0</v>
      </c>
      <c r="Y574" s="8">
        <v>2210.0</v>
      </c>
      <c r="Z574" s="8"/>
      <c r="AA574" s="8">
        <v>14.018</v>
      </c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 ht="15.75" customHeight="1">
      <c r="A575" s="6">
        <v>574.0</v>
      </c>
      <c r="B575" s="7">
        <v>49883.0</v>
      </c>
      <c r="C575" s="8">
        <v>125.4</v>
      </c>
      <c r="D575" s="8">
        <v>93.13</v>
      </c>
      <c r="E575" s="8">
        <v>83.05</v>
      </c>
      <c r="F575" s="8">
        <v>125.4</v>
      </c>
      <c r="G575" s="8">
        <v>93.13</v>
      </c>
      <c r="H575" s="8">
        <v>83.05</v>
      </c>
      <c r="I575" s="8">
        <v>40.0</v>
      </c>
      <c r="J575" s="8">
        <v>28.3</v>
      </c>
      <c r="K575" s="8">
        <v>82.4</v>
      </c>
      <c r="L575" s="9">
        <f t="shared" si="1"/>
        <v>290.8</v>
      </c>
      <c r="M575" s="9">
        <f t="shared" si="2"/>
        <v>203.3075982</v>
      </c>
      <c r="N575" s="9">
        <f t="shared" si="3"/>
        <v>290.2</v>
      </c>
      <c r="O575" s="9">
        <f t="shared" si="4"/>
        <v>291</v>
      </c>
      <c r="P575" s="9">
        <f t="shared" si="6"/>
        <v>291.2</v>
      </c>
      <c r="Q575" s="9">
        <f t="shared" ref="Q575:R575" si="574">average(L569:L575)</f>
        <v>291.3142857</v>
      </c>
      <c r="R575" s="9">
        <f t="shared" si="574"/>
        <v>191.196633</v>
      </c>
      <c r="S575" s="11">
        <v>54.82</v>
      </c>
      <c r="T575" s="11">
        <v>52.82</v>
      </c>
      <c r="U575" s="12">
        <v>8.87</v>
      </c>
      <c r="V575" s="12"/>
      <c r="W575" s="14">
        <f t="shared" si="543"/>
        <v>14.99122411</v>
      </c>
      <c r="X575" s="8">
        <v>33075.0</v>
      </c>
      <c r="Y575" s="8">
        <v>1733.0</v>
      </c>
      <c r="Z575" s="8"/>
      <c r="AA575" s="8">
        <v>14.091</v>
      </c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 ht="15.75" customHeight="1">
      <c r="A576" s="6">
        <v>575.0</v>
      </c>
      <c r="B576" s="7">
        <v>49884.0</v>
      </c>
      <c r="C576" s="8">
        <v>125.0</v>
      </c>
      <c r="D576" s="8">
        <v>87.85</v>
      </c>
      <c r="E576" s="8">
        <v>83.46</v>
      </c>
      <c r="F576" s="8">
        <v>125.0</v>
      </c>
      <c r="G576" s="8">
        <v>87.85</v>
      </c>
      <c r="H576" s="8">
        <v>83.46</v>
      </c>
      <c r="I576" s="8">
        <v>40.0</v>
      </c>
      <c r="J576" s="8">
        <v>35.2</v>
      </c>
      <c r="K576" s="8">
        <v>81.1</v>
      </c>
      <c r="L576" s="9">
        <f t="shared" si="1"/>
        <v>290</v>
      </c>
      <c r="M576" s="9">
        <f t="shared" si="2"/>
        <v>194.717905</v>
      </c>
      <c r="N576" s="9">
        <f t="shared" si="3"/>
        <v>290.8</v>
      </c>
      <c r="O576" s="9">
        <f t="shared" si="4"/>
        <v>290.2</v>
      </c>
      <c r="P576" s="9">
        <f t="shared" si="6"/>
        <v>290.8</v>
      </c>
      <c r="Q576" s="9">
        <f t="shared" ref="Q576:R576" si="575">average(L570:L576)</f>
        <v>291.1428571</v>
      </c>
      <c r="R576" s="9">
        <f t="shared" si="575"/>
        <v>192.6919223</v>
      </c>
      <c r="S576" s="11">
        <v>54.89</v>
      </c>
      <c r="T576" s="11">
        <v>52.36</v>
      </c>
      <c r="U576" s="12">
        <v>9.7</v>
      </c>
      <c r="V576" s="12"/>
      <c r="W576" s="14">
        <f t="shared" si="543"/>
        <v>14.98532737</v>
      </c>
      <c r="X576" s="8">
        <v>33754.0</v>
      </c>
      <c r="Y576" s="8">
        <v>1990.0</v>
      </c>
      <c r="Z576" s="8"/>
      <c r="AA576" s="8">
        <v>14.732</v>
      </c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 ht="15.75" customHeight="1">
      <c r="A577" s="6">
        <v>576.0</v>
      </c>
      <c r="B577" s="7">
        <v>49885.0</v>
      </c>
      <c r="C577" s="8">
        <v>125.4</v>
      </c>
      <c r="D577" s="8">
        <v>91.16</v>
      </c>
      <c r="E577" s="8">
        <v>83.84</v>
      </c>
      <c r="F577" s="8">
        <v>125.4</v>
      </c>
      <c r="G577" s="8">
        <v>91.16</v>
      </c>
      <c r="H577" s="8">
        <v>83.84</v>
      </c>
      <c r="I577" s="8">
        <v>20.0</v>
      </c>
      <c r="J577" s="8">
        <v>26.4</v>
      </c>
      <c r="K577" s="8">
        <v>80.5</v>
      </c>
      <c r="L577" s="9">
        <f t="shared" si="1"/>
        <v>270.8</v>
      </c>
      <c r="M577" s="9">
        <f t="shared" si="2"/>
        <v>195.9331884</v>
      </c>
      <c r="N577" s="9">
        <f t="shared" si="3"/>
        <v>290</v>
      </c>
      <c r="O577" s="9">
        <f t="shared" si="4"/>
        <v>290.8</v>
      </c>
      <c r="P577" s="9">
        <f t="shared" si="6"/>
        <v>294.8</v>
      </c>
      <c r="Q577" s="9">
        <f t="shared" ref="Q577:R577" si="576">average(L571:L577)</f>
        <v>288.2857143</v>
      </c>
      <c r="R577" s="9">
        <f t="shared" si="576"/>
        <v>195.2039736</v>
      </c>
      <c r="S577" s="11">
        <v>55.77</v>
      </c>
      <c r="T577" s="11">
        <v>52.0875</v>
      </c>
      <c r="U577" s="12">
        <v>11.93</v>
      </c>
      <c r="V577" s="12"/>
      <c r="W577" s="14">
        <f t="shared" si="543"/>
        <v>14.97994853</v>
      </c>
      <c r="X577" s="8">
        <v>33672.0</v>
      </c>
      <c r="Y577" s="8">
        <v>2265.0</v>
      </c>
      <c r="Z577" s="8"/>
      <c r="AA577" s="8">
        <v>15.083</v>
      </c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 ht="15.75" customHeight="1">
      <c r="A578" s="6">
        <v>577.0</v>
      </c>
      <c r="B578" s="7">
        <v>49886.0</v>
      </c>
      <c r="C578" s="8">
        <v>125.7</v>
      </c>
      <c r="D578" s="8">
        <v>90.58</v>
      </c>
      <c r="E578" s="8">
        <v>81.31</v>
      </c>
      <c r="F578" s="8">
        <v>125.7</v>
      </c>
      <c r="G578" s="8">
        <v>90.58</v>
      </c>
      <c r="H578" s="8">
        <v>81.31</v>
      </c>
      <c r="I578" s="8">
        <v>40.0</v>
      </c>
      <c r="J578" s="8">
        <v>22.1</v>
      </c>
      <c r="K578" s="8">
        <v>80.1</v>
      </c>
      <c r="L578" s="9">
        <f t="shared" si="1"/>
        <v>291.4</v>
      </c>
      <c r="M578" s="9">
        <f t="shared" si="2"/>
        <v>192.2384434</v>
      </c>
      <c r="N578" s="9">
        <f t="shared" si="3"/>
        <v>270.8</v>
      </c>
      <c r="O578" s="9">
        <f t="shared" si="4"/>
        <v>290</v>
      </c>
      <c r="P578" s="9">
        <f t="shared" si="6"/>
        <v>290.4</v>
      </c>
      <c r="Q578" s="9">
        <f t="shared" ref="Q578:R578" si="577">average(L572:L578)</f>
        <v>287.8</v>
      </c>
      <c r="R578" s="9">
        <f t="shared" si="577"/>
        <v>193.8900834</v>
      </c>
      <c r="S578" s="11">
        <v>55.08</v>
      </c>
      <c r="T578" s="11">
        <v>51.9525</v>
      </c>
      <c r="U578" s="12">
        <v>11.16</v>
      </c>
      <c r="V578" s="12"/>
      <c r="W578" s="14">
        <f t="shared" si="543"/>
        <v>14.97549579</v>
      </c>
      <c r="X578" s="8">
        <v>32981.0</v>
      </c>
      <c r="Y578" s="8">
        <v>2385.0</v>
      </c>
      <c r="Z578" s="8"/>
      <c r="AA578" s="8">
        <v>15.07</v>
      </c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 ht="15.75" customHeight="1">
      <c r="A579" s="6">
        <v>578.0</v>
      </c>
      <c r="B579" s="7">
        <v>49887.0</v>
      </c>
      <c r="C579" s="8">
        <v>125.6</v>
      </c>
      <c r="D579" s="8">
        <v>81.82</v>
      </c>
      <c r="E579" s="8">
        <v>77.97</v>
      </c>
      <c r="F579" s="8">
        <v>125.6</v>
      </c>
      <c r="G579" s="8">
        <v>81.82</v>
      </c>
      <c r="H579" s="8">
        <v>77.97</v>
      </c>
      <c r="I579" s="8">
        <v>35.0</v>
      </c>
      <c r="J579" s="8">
        <v>22.9</v>
      </c>
      <c r="K579" s="8">
        <v>82.1</v>
      </c>
      <c r="L579" s="9">
        <f t="shared" si="1"/>
        <v>286.2</v>
      </c>
      <c r="M579" s="9">
        <f t="shared" si="2"/>
        <v>166.8334906</v>
      </c>
      <c r="N579" s="9">
        <f t="shared" si="3"/>
        <v>291.4</v>
      </c>
      <c r="O579" s="9">
        <f t="shared" si="4"/>
        <v>270.8</v>
      </c>
      <c r="P579" s="9">
        <f t="shared" si="6"/>
        <v>291</v>
      </c>
      <c r="Q579" s="9">
        <f t="shared" ref="Q579:R579" si="578">average(L573:L579)</f>
        <v>287.2</v>
      </c>
      <c r="R579" s="9">
        <f t="shared" si="578"/>
        <v>189.9519238</v>
      </c>
      <c r="S579" s="11">
        <v>54.03</v>
      </c>
      <c r="T579" s="11">
        <v>51.4675</v>
      </c>
      <c r="U579" s="12">
        <v>10.26</v>
      </c>
      <c r="V579" s="12"/>
      <c r="W579" s="14">
        <f t="shared" si="543"/>
        <v>14.9719581</v>
      </c>
      <c r="X579" s="8">
        <v>31281.0</v>
      </c>
      <c r="Y579" s="8">
        <v>2185.0</v>
      </c>
      <c r="Z579" s="8"/>
      <c r="AA579" s="8">
        <v>15.07</v>
      </c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 ht="15.75" customHeight="1">
      <c r="A580" s="6">
        <v>579.0</v>
      </c>
      <c r="B580" s="7">
        <v>49888.0</v>
      </c>
      <c r="C580" s="8">
        <v>130.3</v>
      </c>
      <c r="D580" s="8">
        <v>89.21</v>
      </c>
      <c r="E580" s="8">
        <v>83.16</v>
      </c>
      <c r="F580" s="8">
        <v>130.3</v>
      </c>
      <c r="G580" s="8">
        <v>89.21</v>
      </c>
      <c r="H580" s="8">
        <v>83.16</v>
      </c>
      <c r="I580" s="8">
        <v>10.0</v>
      </c>
      <c r="J580" s="8">
        <v>18.7</v>
      </c>
      <c r="K580" s="8">
        <v>81.9</v>
      </c>
      <c r="L580" s="9">
        <f t="shared" si="1"/>
        <v>270.6</v>
      </c>
      <c r="M580" s="9">
        <f t="shared" si="2"/>
        <v>194.8629458</v>
      </c>
      <c r="N580" s="9">
        <f t="shared" si="3"/>
        <v>286.2</v>
      </c>
      <c r="O580" s="9">
        <f t="shared" si="4"/>
        <v>291.4</v>
      </c>
      <c r="P580" s="9">
        <f t="shared" si="6"/>
        <v>290.2</v>
      </c>
      <c r="Q580" s="9">
        <f t="shared" ref="Q580:R580" si="579">average(L574:L580)</f>
        <v>284.2857143</v>
      </c>
      <c r="R580" s="9">
        <f t="shared" si="579"/>
        <v>191.1721534</v>
      </c>
      <c r="S580" s="11">
        <v>53.53</v>
      </c>
      <c r="T580" s="11">
        <v>51.3575</v>
      </c>
      <c r="U580" s="12">
        <v>11.98</v>
      </c>
      <c r="V580" s="12"/>
      <c r="W580" s="14">
        <f t="shared" si="543"/>
        <v>14.96979846</v>
      </c>
      <c r="X580" s="8">
        <v>32174.0</v>
      </c>
      <c r="Y580" s="8">
        <v>2220.0</v>
      </c>
      <c r="Z580" s="8"/>
      <c r="AA580" s="8">
        <v>14.274</v>
      </c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 ht="15.75" customHeight="1">
      <c r="A581" s="6">
        <v>580.0</v>
      </c>
      <c r="B581" s="7">
        <v>49889.0</v>
      </c>
      <c r="C581" s="8">
        <v>130.7</v>
      </c>
      <c r="D581" s="8">
        <v>83.8</v>
      </c>
      <c r="E581" s="8">
        <v>80.53</v>
      </c>
      <c r="F581" s="8">
        <v>130.7</v>
      </c>
      <c r="G581" s="8">
        <v>83.8</v>
      </c>
      <c r="H581" s="8">
        <v>80.53</v>
      </c>
      <c r="I581" s="8">
        <v>40.0</v>
      </c>
      <c r="J581" s="8">
        <v>18.7</v>
      </c>
      <c r="K581" s="8">
        <v>81.7</v>
      </c>
      <c r="L581" s="9">
        <f t="shared" si="1"/>
        <v>301.4</v>
      </c>
      <c r="M581" s="9">
        <f t="shared" si="2"/>
        <v>182.514702</v>
      </c>
      <c r="N581" s="9">
        <f t="shared" si="3"/>
        <v>270.6</v>
      </c>
      <c r="O581" s="9">
        <f t="shared" si="4"/>
        <v>286.2</v>
      </c>
      <c r="P581" s="9">
        <f t="shared" si="6"/>
        <v>290.8</v>
      </c>
      <c r="Q581" s="9">
        <f t="shared" ref="Q581:R581" si="580">average(L575:L581)</f>
        <v>285.8857143</v>
      </c>
      <c r="R581" s="9">
        <f t="shared" si="580"/>
        <v>190.0583248</v>
      </c>
      <c r="S581" s="11">
        <v>53.61</v>
      </c>
      <c r="T581" s="11">
        <v>51.7525</v>
      </c>
      <c r="U581" s="12">
        <v>11.96</v>
      </c>
      <c r="V581" s="12"/>
      <c r="W581" s="14">
        <f t="shared" si="543"/>
        <v>14.96784588</v>
      </c>
      <c r="X581" s="8">
        <v>33073.0</v>
      </c>
      <c r="Y581" s="8">
        <v>2590.0</v>
      </c>
      <c r="Z581" s="8"/>
      <c r="AA581" s="8">
        <v>14.756</v>
      </c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 ht="15.75" customHeight="1">
      <c r="A582" s="6">
        <v>581.0</v>
      </c>
      <c r="B582" s="7">
        <v>49890.0</v>
      </c>
      <c r="C582" s="8">
        <v>130.8</v>
      </c>
      <c r="D582" s="8">
        <v>87.58</v>
      </c>
      <c r="E582" s="8">
        <v>82.09</v>
      </c>
      <c r="F582" s="8">
        <v>130.8</v>
      </c>
      <c r="G582" s="8">
        <v>87.58</v>
      </c>
      <c r="H582" s="8">
        <v>82.09</v>
      </c>
      <c r="I582" s="8">
        <v>40.0</v>
      </c>
      <c r="J582" s="8">
        <v>19.6</v>
      </c>
      <c r="K582" s="8">
        <v>83.5</v>
      </c>
      <c r="L582" s="9">
        <f t="shared" si="1"/>
        <v>301.6</v>
      </c>
      <c r="M582" s="9">
        <f t="shared" si="2"/>
        <v>194.622208</v>
      </c>
      <c r="N582" s="9">
        <f t="shared" si="3"/>
        <v>301.4</v>
      </c>
      <c r="O582" s="9">
        <f t="shared" si="4"/>
        <v>270.6</v>
      </c>
      <c r="P582" s="9">
        <f t="shared" si="6"/>
        <v>290</v>
      </c>
      <c r="Q582" s="9">
        <f t="shared" ref="Q582:R582" si="581">average(L576:L582)</f>
        <v>287.4285714</v>
      </c>
      <c r="R582" s="9">
        <f t="shared" si="581"/>
        <v>188.8175547</v>
      </c>
      <c r="S582" s="11">
        <v>54.67</v>
      </c>
      <c r="T582" s="11">
        <v>52.0325</v>
      </c>
      <c r="U582" s="12">
        <v>12.04</v>
      </c>
      <c r="V582" s="12"/>
      <c r="W582" s="14">
        <f t="shared" si="543"/>
        <v>14.96640179</v>
      </c>
      <c r="X582" s="8">
        <v>32111.0</v>
      </c>
      <c r="Y582" s="8">
        <v>2335.0</v>
      </c>
      <c r="Z582" s="8"/>
      <c r="AA582" s="8">
        <v>14.715</v>
      </c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 ht="15.75" customHeight="1">
      <c r="A583" s="6">
        <v>582.0</v>
      </c>
      <c r="B583" s="7">
        <v>49891.0</v>
      </c>
      <c r="C583" s="8">
        <v>130.5</v>
      </c>
      <c r="D583" s="8">
        <v>90.57</v>
      </c>
      <c r="E583" s="8">
        <v>82.09</v>
      </c>
      <c r="F583" s="8">
        <v>130.5</v>
      </c>
      <c r="G583" s="8">
        <v>90.57</v>
      </c>
      <c r="H583" s="8">
        <v>82.09</v>
      </c>
      <c r="I583" s="8">
        <v>40.0</v>
      </c>
      <c r="J583" s="8">
        <v>23.2</v>
      </c>
      <c r="K583" s="8">
        <v>83.5</v>
      </c>
      <c r="L583" s="9">
        <f t="shared" si="1"/>
        <v>301</v>
      </c>
      <c r="M583" s="9">
        <f t="shared" si="2"/>
        <v>201.7994629</v>
      </c>
      <c r="N583" s="9">
        <f t="shared" si="3"/>
        <v>301.6</v>
      </c>
      <c r="O583" s="9">
        <f t="shared" si="4"/>
        <v>301.4</v>
      </c>
      <c r="P583" s="9">
        <f t="shared" si="6"/>
        <v>270.8</v>
      </c>
      <c r="Q583" s="9">
        <f t="shared" ref="Q583:R583" si="582">average(L577:L583)</f>
        <v>289</v>
      </c>
      <c r="R583" s="9">
        <f t="shared" si="582"/>
        <v>189.8292059</v>
      </c>
      <c r="S583" s="11">
        <v>54.69</v>
      </c>
      <c r="T583" s="11">
        <v>51.279999999999994</v>
      </c>
      <c r="U583" s="12">
        <v>10.0</v>
      </c>
      <c r="V583" s="12"/>
      <c r="W583" s="14">
        <f t="shared" si="543"/>
        <v>14.96582119</v>
      </c>
      <c r="X583" s="8">
        <v>32195.0</v>
      </c>
      <c r="Y583" s="8">
        <v>2150.0</v>
      </c>
      <c r="Z583" s="8"/>
      <c r="AA583" s="8">
        <v>14.947</v>
      </c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 ht="15.75" customHeight="1">
      <c r="A584" s="6">
        <v>583.0</v>
      </c>
      <c r="B584" s="7">
        <v>49892.0</v>
      </c>
      <c r="C584" s="8">
        <v>130.7</v>
      </c>
      <c r="D584" s="8">
        <v>87.95</v>
      </c>
      <c r="E584" s="8">
        <v>76.56</v>
      </c>
      <c r="F584" s="8">
        <v>130.7</v>
      </c>
      <c r="G584" s="8">
        <v>87.95</v>
      </c>
      <c r="H584" s="8">
        <v>76.56</v>
      </c>
      <c r="I584" s="8">
        <v>40.0</v>
      </c>
      <c r="J584" s="8">
        <v>22.8</v>
      </c>
      <c r="K584" s="8">
        <v>83.7</v>
      </c>
      <c r="L584" s="9">
        <f t="shared" si="1"/>
        <v>301.4</v>
      </c>
      <c r="M584" s="9">
        <f t="shared" si="2"/>
        <v>183.6458753</v>
      </c>
      <c r="N584" s="9">
        <f t="shared" si="3"/>
        <v>301</v>
      </c>
      <c r="O584" s="9">
        <f t="shared" si="4"/>
        <v>301.6</v>
      </c>
      <c r="P584" s="9">
        <f t="shared" si="6"/>
        <v>291.4</v>
      </c>
      <c r="Q584" s="9">
        <f t="shared" ref="Q584:R584" si="583">average(L578:L584)</f>
        <v>293.3714286</v>
      </c>
      <c r="R584" s="9">
        <f t="shared" si="583"/>
        <v>188.0738754</v>
      </c>
      <c r="S584" s="11">
        <v>54.13</v>
      </c>
      <c r="T584" s="11">
        <v>50.8825</v>
      </c>
      <c r="U584" s="12">
        <v>12.16</v>
      </c>
      <c r="V584" s="12"/>
      <c r="W584" s="14">
        <f t="shared" si="543"/>
        <v>14.96603091</v>
      </c>
      <c r="X584" s="8">
        <v>31964.0</v>
      </c>
      <c r="Y584" s="8">
        <v>2445.0</v>
      </c>
      <c r="Z584" s="8"/>
      <c r="AA584" s="8">
        <v>14.146</v>
      </c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 ht="15.75" customHeight="1">
      <c r="A585" s="6">
        <v>584.0</v>
      </c>
      <c r="B585" s="7">
        <v>49893.0</v>
      </c>
      <c r="C585" s="8">
        <v>130.4</v>
      </c>
      <c r="D585" s="8">
        <v>88.64</v>
      </c>
      <c r="E585" s="8">
        <v>83.73</v>
      </c>
      <c r="F585" s="8">
        <v>130.4</v>
      </c>
      <c r="G585" s="8">
        <v>88.64</v>
      </c>
      <c r="H585" s="8">
        <v>83.73</v>
      </c>
      <c r="I585" s="8">
        <v>40.0</v>
      </c>
      <c r="J585" s="8">
        <v>26.7</v>
      </c>
      <c r="K585" s="8">
        <v>82.8</v>
      </c>
      <c r="L585" s="9">
        <f t="shared" si="1"/>
        <v>300.8</v>
      </c>
      <c r="M585" s="9">
        <f t="shared" si="2"/>
        <v>202.4042934</v>
      </c>
      <c r="N585" s="9">
        <f t="shared" si="3"/>
        <v>301.4</v>
      </c>
      <c r="O585" s="9">
        <f t="shared" si="4"/>
        <v>301</v>
      </c>
      <c r="P585" s="9">
        <f t="shared" si="6"/>
        <v>286.2</v>
      </c>
      <c r="Q585" s="9">
        <f t="shared" ref="Q585:R585" si="584">average(L579:L585)</f>
        <v>294.7142857</v>
      </c>
      <c r="R585" s="9">
        <f t="shared" si="584"/>
        <v>189.5261397</v>
      </c>
      <c r="S585" s="11">
        <v>55.0</v>
      </c>
      <c r="T585" s="11">
        <v>51.519999999999996</v>
      </c>
      <c r="U585" s="12">
        <v>10.93</v>
      </c>
      <c r="V585" s="12"/>
      <c r="W585" s="14">
        <f t="shared" si="543"/>
        <v>14.96717773</v>
      </c>
      <c r="X585" s="8">
        <v>32078.0</v>
      </c>
      <c r="Y585" s="8">
        <v>2400.0</v>
      </c>
      <c r="Z585" s="8"/>
      <c r="AA585" s="8">
        <v>14.57</v>
      </c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 ht="15.75" customHeight="1">
      <c r="A586" s="6">
        <v>585.0</v>
      </c>
      <c r="B586" s="7">
        <v>49894.0</v>
      </c>
      <c r="C586" s="8">
        <v>130.8</v>
      </c>
      <c r="D586" s="8">
        <v>87.22</v>
      </c>
      <c r="E586" s="8">
        <v>80.33</v>
      </c>
      <c r="F586" s="8">
        <v>130.8</v>
      </c>
      <c r="G586" s="8">
        <v>87.22</v>
      </c>
      <c r="H586" s="8">
        <v>80.33</v>
      </c>
      <c r="I586" s="8">
        <v>40.0</v>
      </c>
      <c r="J586" s="8">
        <v>27.2</v>
      </c>
      <c r="K586" s="8">
        <v>84.6</v>
      </c>
      <c r="L586" s="9">
        <f t="shared" si="1"/>
        <v>301.6</v>
      </c>
      <c r="M586" s="9">
        <f t="shared" si="2"/>
        <v>192.4914488</v>
      </c>
      <c r="N586" s="9">
        <f t="shared" si="3"/>
        <v>300.8</v>
      </c>
      <c r="O586" s="9">
        <f t="shared" si="4"/>
        <v>301.4</v>
      </c>
      <c r="P586" s="9">
        <f t="shared" si="6"/>
        <v>270.6</v>
      </c>
      <c r="Q586" s="9">
        <f t="shared" ref="Q586:R586" si="585">average(L580:L586)</f>
        <v>296.9142857</v>
      </c>
      <c r="R586" s="9">
        <f t="shared" si="585"/>
        <v>193.1915623</v>
      </c>
      <c r="S586" s="11">
        <v>54.76</v>
      </c>
      <c r="T586" s="11">
        <v>51.0925</v>
      </c>
      <c r="U586" s="12">
        <v>10.7</v>
      </c>
      <c r="V586" s="12"/>
      <c r="W586" s="14">
        <f t="shared" si="543"/>
        <v>14.96893827</v>
      </c>
      <c r="X586" s="8">
        <v>31695.0</v>
      </c>
      <c r="Y586" s="8">
        <v>2195.0</v>
      </c>
      <c r="Z586" s="8"/>
      <c r="AA586" s="8">
        <v>15.035</v>
      </c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 ht="15.75" customHeight="1">
      <c r="A587" s="6">
        <v>586.0</v>
      </c>
      <c r="B587" s="7">
        <v>49895.0</v>
      </c>
      <c r="C587" s="8">
        <v>130.3</v>
      </c>
      <c r="D587" s="8">
        <v>92.29</v>
      </c>
      <c r="E587" s="8">
        <v>83.03</v>
      </c>
      <c r="F587" s="8">
        <v>130.3</v>
      </c>
      <c r="G587" s="8">
        <v>92.29</v>
      </c>
      <c r="H587" s="8">
        <v>83.03</v>
      </c>
      <c r="I587" s="8">
        <v>40.0</v>
      </c>
      <c r="J587" s="8">
        <v>26.8</v>
      </c>
      <c r="K587" s="8">
        <v>82.3</v>
      </c>
      <c r="L587" s="9">
        <f t="shared" si="1"/>
        <v>300.6</v>
      </c>
      <c r="M587" s="9">
        <f t="shared" si="2"/>
        <v>208.5161365</v>
      </c>
      <c r="N587" s="9">
        <f t="shared" si="3"/>
        <v>301.6</v>
      </c>
      <c r="O587" s="9">
        <f t="shared" si="4"/>
        <v>300.8</v>
      </c>
      <c r="P587" s="9">
        <f t="shared" si="6"/>
        <v>301.4</v>
      </c>
      <c r="Q587" s="9">
        <f t="shared" ref="Q587:R587" si="586">average(L581:L587)</f>
        <v>301.2</v>
      </c>
      <c r="R587" s="9">
        <f t="shared" si="586"/>
        <v>195.1420181</v>
      </c>
      <c r="S587" s="11">
        <v>53.35</v>
      </c>
      <c r="T587" s="11">
        <v>50.655</v>
      </c>
      <c r="U587" s="12">
        <v>11.51</v>
      </c>
      <c r="V587" s="12"/>
      <c r="W587" s="14">
        <f t="shared" si="543"/>
        <v>14.97067347</v>
      </c>
      <c r="X587" s="8">
        <v>27910.0</v>
      </c>
      <c r="Y587" s="8">
        <v>2325.0</v>
      </c>
      <c r="Z587" s="8"/>
      <c r="AA587" s="8">
        <v>14.007</v>
      </c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 ht="15.75" customHeight="1">
      <c r="A588" s="6">
        <v>587.0</v>
      </c>
      <c r="B588" s="7">
        <v>49896.0</v>
      </c>
      <c r="C588" s="8">
        <v>130.1</v>
      </c>
      <c r="D588" s="8">
        <v>86.88</v>
      </c>
      <c r="E588" s="8">
        <v>73.37</v>
      </c>
      <c r="F588" s="8">
        <v>130.1</v>
      </c>
      <c r="G588" s="8">
        <v>86.88</v>
      </c>
      <c r="H588" s="8">
        <v>73.37</v>
      </c>
      <c r="I588" s="8">
        <v>40.0</v>
      </c>
      <c r="J588" s="8">
        <v>36.4</v>
      </c>
      <c r="K588" s="8">
        <v>86.6</v>
      </c>
      <c r="L588" s="9">
        <f t="shared" si="1"/>
        <v>300.2</v>
      </c>
      <c r="M588" s="9">
        <f t="shared" si="2"/>
        <v>178.4704733</v>
      </c>
      <c r="N588" s="9">
        <f t="shared" si="3"/>
        <v>300.6</v>
      </c>
      <c r="O588" s="9">
        <f t="shared" si="4"/>
        <v>301.6</v>
      </c>
      <c r="P588" s="9">
        <f t="shared" si="6"/>
        <v>301.6</v>
      </c>
      <c r="Q588" s="9">
        <f t="shared" ref="Q588:R588" si="587">average(L582:L588)</f>
        <v>301.0285714</v>
      </c>
      <c r="R588" s="9">
        <f t="shared" si="587"/>
        <v>194.5642712</v>
      </c>
      <c r="S588" s="11">
        <v>52.59</v>
      </c>
      <c r="T588" s="11">
        <v>50.037499999999994</v>
      </c>
      <c r="U588" s="12">
        <v>10.84</v>
      </c>
      <c r="V588" s="12"/>
      <c r="W588" s="14">
        <f t="shared" si="543"/>
        <v>14.97210578</v>
      </c>
      <c r="X588" s="8">
        <v>30621.0</v>
      </c>
      <c r="Y588" s="8">
        <v>2315.0</v>
      </c>
      <c r="Z588" s="8"/>
      <c r="AA588" s="8">
        <v>14.643</v>
      </c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 ht="15.75" customHeight="1">
      <c r="A589" s="6">
        <v>588.0</v>
      </c>
      <c r="B589" s="7">
        <v>49897.0</v>
      </c>
      <c r="C589" s="8">
        <v>122.8</v>
      </c>
      <c r="D589" s="8">
        <v>89.98</v>
      </c>
      <c r="E589" s="8">
        <v>81.0</v>
      </c>
      <c r="F589" s="8">
        <v>122.8</v>
      </c>
      <c r="G589" s="8">
        <v>89.98</v>
      </c>
      <c r="H589" s="8">
        <v>81.0</v>
      </c>
      <c r="I589" s="8">
        <v>40.0</v>
      </c>
      <c r="J589" s="8">
        <v>28.7</v>
      </c>
      <c r="K589" s="8">
        <v>84.4</v>
      </c>
      <c r="L589" s="9">
        <f t="shared" si="1"/>
        <v>285.6</v>
      </c>
      <c r="M589" s="9">
        <f t="shared" si="2"/>
        <v>188.6917328</v>
      </c>
      <c r="N589" s="9">
        <f t="shared" si="3"/>
        <v>300.2</v>
      </c>
      <c r="O589" s="9">
        <f t="shared" si="4"/>
        <v>300.6</v>
      </c>
      <c r="P589" s="9">
        <f t="shared" si="6"/>
        <v>301</v>
      </c>
      <c r="Q589" s="9">
        <f t="shared" ref="Q589:R589" si="588">average(L583:L589)</f>
        <v>298.7428571</v>
      </c>
      <c r="R589" s="9">
        <f t="shared" si="588"/>
        <v>193.7170604</v>
      </c>
      <c r="S589" s="11">
        <v>52.64</v>
      </c>
      <c r="T589" s="11">
        <v>49.665000000000006</v>
      </c>
      <c r="U589" s="12">
        <v>11.74</v>
      </c>
      <c r="V589" s="12"/>
      <c r="W589" s="14">
        <f t="shared" si="543"/>
        <v>14.97290634</v>
      </c>
      <c r="X589" s="8">
        <v>30818.0</v>
      </c>
      <c r="Y589" s="8">
        <v>2010.0</v>
      </c>
      <c r="Z589" s="8"/>
      <c r="AA589" s="8">
        <v>14.547</v>
      </c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 ht="15.75" customHeight="1">
      <c r="A590" s="6">
        <v>589.0</v>
      </c>
      <c r="B590" s="7">
        <v>49898.0</v>
      </c>
      <c r="C590" s="8">
        <v>110.9</v>
      </c>
      <c r="D590" s="8">
        <v>88.4</v>
      </c>
      <c r="E590" s="8">
        <v>76.21</v>
      </c>
      <c r="F590" s="8">
        <v>110.9</v>
      </c>
      <c r="G590" s="8">
        <v>88.4</v>
      </c>
      <c r="H590" s="8">
        <v>76.21</v>
      </c>
      <c r="I590" s="8">
        <v>40.0</v>
      </c>
      <c r="J590" s="8">
        <v>31.6</v>
      </c>
      <c r="K590" s="8">
        <v>85.3</v>
      </c>
      <c r="L590" s="9">
        <f t="shared" si="1"/>
        <v>261.8</v>
      </c>
      <c r="M590" s="9">
        <f t="shared" si="2"/>
        <v>160.2077815</v>
      </c>
      <c r="N590" s="9">
        <f t="shared" si="3"/>
        <v>285.6</v>
      </c>
      <c r="O590" s="9">
        <f t="shared" si="4"/>
        <v>300.2</v>
      </c>
      <c r="P590" s="9">
        <f t="shared" si="6"/>
        <v>301.4</v>
      </c>
      <c r="Q590" s="9">
        <f t="shared" ref="Q590:R590" si="589">average(L584:L590)</f>
        <v>293.1428571</v>
      </c>
      <c r="R590" s="9">
        <f t="shared" si="589"/>
        <v>187.7753917</v>
      </c>
      <c r="S590" s="11">
        <v>54.75</v>
      </c>
      <c r="T590" s="11">
        <v>50.5</v>
      </c>
      <c r="U590" s="12">
        <v>7.34</v>
      </c>
      <c r="V590" s="12"/>
      <c r="W590" s="14">
        <f t="shared" si="543"/>
        <v>14.97317691</v>
      </c>
      <c r="X590" s="8">
        <v>22114.0</v>
      </c>
      <c r="Y590" s="8">
        <v>1720.0</v>
      </c>
      <c r="Z590" s="8"/>
      <c r="AA590" s="8">
        <v>10.162</v>
      </c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 ht="15.75" customHeight="1">
      <c r="A591" s="6">
        <v>590.0</v>
      </c>
      <c r="B591" s="7">
        <v>49899.0</v>
      </c>
      <c r="C591" s="8">
        <v>115.4</v>
      </c>
      <c r="D591" s="8">
        <v>93.3</v>
      </c>
      <c r="E591" s="8">
        <v>86.78</v>
      </c>
      <c r="F591" s="8">
        <v>115.4</v>
      </c>
      <c r="G591" s="8">
        <v>93.3</v>
      </c>
      <c r="H591" s="8">
        <v>86.78</v>
      </c>
      <c r="I591" s="8">
        <v>40.0</v>
      </c>
      <c r="J591" s="8">
        <v>30.5</v>
      </c>
      <c r="K591" s="8">
        <v>81.6</v>
      </c>
      <c r="L591" s="9">
        <f t="shared" si="1"/>
        <v>270.8</v>
      </c>
      <c r="M591" s="9">
        <f t="shared" si="2"/>
        <v>196.8241279</v>
      </c>
      <c r="N591" s="9">
        <f t="shared" si="3"/>
        <v>261.8</v>
      </c>
      <c r="O591" s="9">
        <f t="shared" si="4"/>
        <v>285.6</v>
      </c>
      <c r="P591" s="9">
        <f t="shared" si="6"/>
        <v>300.8</v>
      </c>
      <c r="Q591" s="9">
        <f t="shared" ref="Q591:R591" si="590">average(L585:L591)</f>
        <v>288.7714286</v>
      </c>
      <c r="R591" s="9">
        <f t="shared" si="590"/>
        <v>189.6579992</v>
      </c>
      <c r="S591" s="11">
        <v>54.63</v>
      </c>
      <c r="T591" s="11">
        <v>50.275</v>
      </c>
      <c r="U591" s="12">
        <v>10.53</v>
      </c>
      <c r="V591" s="12"/>
      <c r="W591" s="14">
        <f t="shared" si="543"/>
        <v>14.97280191</v>
      </c>
      <c r="X591" s="8">
        <v>28924.0</v>
      </c>
      <c r="Y591" s="8">
        <v>2175.0</v>
      </c>
      <c r="Z591" s="8"/>
      <c r="AA591" s="8">
        <v>13.558</v>
      </c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 ht="15.75" customHeight="1">
      <c r="A592" s="6">
        <v>591.0</v>
      </c>
      <c r="B592" s="7">
        <v>49900.0</v>
      </c>
      <c r="C592" s="8">
        <v>124.4</v>
      </c>
      <c r="D592" s="8">
        <v>88.96</v>
      </c>
      <c r="E592" s="8">
        <v>82.37</v>
      </c>
      <c r="F592" s="8">
        <v>124.4</v>
      </c>
      <c r="G592" s="8">
        <v>88.96</v>
      </c>
      <c r="H592" s="8">
        <v>82.37</v>
      </c>
      <c r="I592" s="8">
        <v>40.0</v>
      </c>
      <c r="J592" s="8">
        <v>30.6</v>
      </c>
      <c r="K592" s="8">
        <v>81.8</v>
      </c>
      <c r="L592" s="9">
        <f t="shared" si="1"/>
        <v>288.8</v>
      </c>
      <c r="M592" s="9">
        <f t="shared" si="2"/>
        <v>192.3238838</v>
      </c>
      <c r="N592" s="9">
        <f t="shared" si="3"/>
        <v>270.8</v>
      </c>
      <c r="O592" s="9">
        <f t="shared" si="4"/>
        <v>261.8</v>
      </c>
      <c r="P592" s="9">
        <f t="shared" si="6"/>
        <v>301.6</v>
      </c>
      <c r="Q592" s="9">
        <f t="shared" ref="Q592:R592" si="591">average(L586:L592)</f>
        <v>287.0571429</v>
      </c>
      <c r="R592" s="9">
        <f t="shared" si="591"/>
        <v>188.2179407</v>
      </c>
      <c r="S592" s="11">
        <v>55.36</v>
      </c>
      <c r="T592" s="11">
        <v>50.3975</v>
      </c>
      <c r="U592" s="12">
        <v>11.78</v>
      </c>
      <c r="V592" s="12"/>
      <c r="W592" s="14">
        <f t="shared" si="543"/>
        <v>14.97165053</v>
      </c>
      <c r="X592" s="8">
        <v>30406.0</v>
      </c>
      <c r="Y592" s="8">
        <v>2230.0</v>
      </c>
      <c r="Z592" s="8"/>
      <c r="AA592" s="8">
        <v>15.096</v>
      </c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 ht="15.75" customHeight="1">
      <c r="A593" s="6">
        <v>592.0</v>
      </c>
      <c r="B593" s="7">
        <v>49901.0</v>
      </c>
      <c r="C593" s="8">
        <v>127.6</v>
      </c>
      <c r="D593" s="8">
        <v>89.32</v>
      </c>
      <c r="E593" s="8">
        <v>82.76</v>
      </c>
      <c r="F593" s="8">
        <v>127.6</v>
      </c>
      <c r="G593" s="8">
        <v>89.32</v>
      </c>
      <c r="H593" s="8">
        <v>82.76</v>
      </c>
      <c r="I593" s="8">
        <v>45.0</v>
      </c>
      <c r="J593" s="8">
        <v>27.7</v>
      </c>
      <c r="K593" s="8">
        <v>82.1</v>
      </c>
      <c r="L593" s="9">
        <f t="shared" si="1"/>
        <v>300.2</v>
      </c>
      <c r="M593" s="9">
        <f t="shared" si="2"/>
        <v>198.8807491</v>
      </c>
      <c r="N593" s="9">
        <f t="shared" si="3"/>
        <v>288.8</v>
      </c>
      <c r="O593" s="9">
        <f t="shared" si="4"/>
        <v>270.8</v>
      </c>
      <c r="P593" s="9">
        <f t="shared" si="6"/>
        <v>300.6</v>
      </c>
      <c r="Q593" s="9">
        <f t="shared" ref="Q593:R593" si="592">average(L587:L593)</f>
        <v>286.8571429</v>
      </c>
      <c r="R593" s="9">
        <f t="shared" si="592"/>
        <v>189.1306978</v>
      </c>
      <c r="S593" s="11">
        <v>55.83</v>
      </c>
      <c r="T593" s="11">
        <v>50.51</v>
      </c>
      <c r="U593" s="12">
        <v>12.17</v>
      </c>
      <c r="V593" s="12"/>
      <c r="W593" s="14">
        <f t="shared" si="543"/>
        <v>14.97079572</v>
      </c>
      <c r="X593" s="8">
        <v>29793.0</v>
      </c>
      <c r="Y593" s="8">
        <v>2350.0</v>
      </c>
      <c r="Z593" s="8"/>
      <c r="AA593" s="8">
        <v>15.072</v>
      </c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 ht="15.75" customHeight="1">
      <c r="A594" s="6">
        <v>593.0</v>
      </c>
      <c r="B594" s="7">
        <v>49902.0</v>
      </c>
      <c r="C594" s="8">
        <v>130.0</v>
      </c>
      <c r="D594" s="8">
        <v>92.0</v>
      </c>
      <c r="E594" s="8">
        <v>82.23</v>
      </c>
      <c r="F594" s="8">
        <v>130.0</v>
      </c>
      <c r="G594" s="8">
        <v>92.0</v>
      </c>
      <c r="H594" s="8">
        <v>82.23</v>
      </c>
      <c r="I594" s="8">
        <v>45.0</v>
      </c>
      <c r="J594" s="8">
        <v>29.1</v>
      </c>
      <c r="K594" s="8">
        <v>81.6</v>
      </c>
      <c r="L594" s="9">
        <f t="shared" si="1"/>
        <v>305</v>
      </c>
      <c r="M594" s="9">
        <f t="shared" si="2"/>
        <v>207.37968</v>
      </c>
      <c r="N594" s="9">
        <f t="shared" si="3"/>
        <v>300.2</v>
      </c>
      <c r="O594" s="9">
        <f t="shared" si="4"/>
        <v>288.8</v>
      </c>
      <c r="P594" s="9">
        <f t="shared" si="6"/>
        <v>300.2</v>
      </c>
      <c r="Q594" s="9">
        <f t="shared" ref="Q594:R594" si="593">average(L588:L594)</f>
        <v>287.4857143</v>
      </c>
      <c r="R594" s="9">
        <f t="shared" si="593"/>
        <v>188.9683469</v>
      </c>
      <c r="S594" s="11">
        <v>54.68</v>
      </c>
      <c r="T594" s="11">
        <v>50.745000000000005</v>
      </c>
      <c r="U594" s="12">
        <v>10.18</v>
      </c>
      <c r="V594" s="12"/>
      <c r="W594" s="14">
        <f t="shared" si="543"/>
        <v>14.97022367</v>
      </c>
      <c r="X594" s="8">
        <v>31051.0</v>
      </c>
      <c r="Y594" s="8">
        <v>1775.0</v>
      </c>
      <c r="Z594" s="8"/>
      <c r="AA594" s="8">
        <v>15.55</v>
      </c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 ht="15.75" customHeight="1">
      <c r="A595" s="6">
        <v>594.0</v>
      </c>
      <c r="B595" s="7">
        <v>49903.0</v>
      </c>
      <c r="C595" s="8">
        <v>130.5</v>
      </c>
      <c r="D595" s="8">
        <v>87.67</v>
      </c>
      <c r="E595" s="8">
        <v>82.23</v>
      </c>
      <c r="F595" s="8">
        <v>130.5</v>
      </c>
      <c r="G595" s="8">
        <v>87.67</v>
      </c>
      <c r="H595" s="8">
        <v>82.23</v>
      </c>
      <c r="I595" s="8">
        <v>60.0</v>
      </c>
      <c r="J595" s="8">
        <v>29.7</v>
      </c>
      <c r="K595" s="8">
        <v>81.6</v>
      </c>
      <c r="L595" s="9">
        <f t="shared" si="1"/>
        <v>321</v>
      </c>
      <c r="M595" s="9">
        <f t="shared" si="2"/>
        <v>202.698737</v>
      </c>
      <c r="N595" s="9">
        <f t="shared" si="3"/>
        <v>305</v>
      </c>
      <c r="O595" s="9">
        <f t="shared" si="4"/>
        <v>300.2</v>
      </c>
      <c r="P595" s="9">
        <f t="shared" si="6"/>
        <v>285.6</v>
      </c>
      <c r="Q595" s="9">
        <f t="shared" ref="Q595:R595" si="594">average(L589:L595)</f>
        <v>290.4571429</v>
      </c>
      <c r="R595" s="9">
        <f t="shared" si="594"/>
        <v>192.4295274</v>
      </c>
      <c r="S595" s="11">
        <v>54.29</v>
      </c>
      <c r="T595" s="11">
        <v>49.489999999999995</v>
      </c>
      <c r="U595" s="12">
        <v>10.31</v>
      </c>
      <c r="V595" s="12"/>
      <c r="W595" s="14">
        <f t="shared" si="543"/>
        <v>14.96989417</v>
      </c>
      <c r="X595" s="8">
        <v>30921.0</v>
      </c>
      <c r="Y595" s="8">
        <v>2205.0</v>
      </c>
      <c r="Z595" s="8"/>
      <c r="AA595" s="8">
        <v>15.442</v>
      </c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 ht="15.75" customHeight="1">
      <c r="A596" s="6">
        <v>595.0</v>
      </c>
      <c r="B596" s="7">
        <v>49904.0</v>
      </c>
      <c r="C596" s="8">
        <v>120.0</v>
      </c>
      <c r="D596" s="8">
        <v>84.82</v>
      </c>
      <c r="E596" s="8">
        <v>83.87</v>
      </c>
      <c r="F596" s="8">
        <v>120.0</v>
      </c>
      <c r="G596" s="8">
        <v>84.82</v>
      </c>
      <c r="H596" s="8">
        <v>83.87</v>
      </c>
      <c r="I596" s="8">
        <v>40.0</v>
      </c>
      <c r="J596" s="8">
        <v>25.5</v>
      </c>
      <c r="K596" s="8">
        <v>75.0</v>
      </c>
      <c r="L596" s="9">
        <f t="shared" si="1"/>
        <v>280</v>
      </c>
      <c r="M596" s="9">
        <f t="shared" si="2"/>
        <v>178.3824816</v>
      </c>
      <c r="N596" s="9">
        <f t="shared" si="3"/>
        <v>321</v>
      </c>
      <c r="O596" s="9">
        <f t="shared" si="4"/>
        <v>305</v>
      </c>
      <c r="P596" s="9">
        <f t="shared" si="6"/>
        <v>261.8</v>
      </c>
      <c r="Q596" s="9">
        <f t="shared" ref="Q596:R596" si="595">average(L590:L596)</f>
        <v>289.6571429</v>
      </c>
      <c r="R596" s="9">
        <f t="shared" si="595"/>
        <v>190.9567773</v>
      </c>
      <c r="S596" s="11">
        <v>54.93</v>
      </c>
      <c r="T596" s="11">
        <v>49.209999999999994</v>
      </c>
      <c r="U596" s="12">
        <v>9.47</v>
      </c>
      <c r="V596" s="12"/>
      <c r="W596" s="14">
        <f t="shared" si="543"/>
        <v>14.96976517</v>
      </c>
      <c r="X596" s="8">
        <v>32643.0</v>
      </c>
      <c r="Y596" s="8">
        <v>2108.0</v>
      </c>
      <c r="Z596" s="8"/>
      <c r="AA596" s="8">
        <v>15.631</v>
      </c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 ht="15.75" customHeight="1">
      <c r="A597" s="6">
        <v>596.0</v>
      </c>
      <c r="B597" s="7">
        <v>49905.0</v>
      </c>
      <c r="C597" s="8">
        <v>120.7</v>
      </c>
      <c r="D597" s="8">
        <v>82.94</v>
      </c>
      <c r="E597" s="8">
        <v>81.2</v>
      </c>
      <c r="F597" s="8">
        <v>120.7</v>
      </c>
      <c r="G597" s="8">
        <v>82.94</v>
      </c>
      <c r="H597" s="8">
        <v>81.2</v>
      </c>
      <c r="I597" s="8">
        <v>40.0</v>
      </c>
      <c r="J597" s="8">
        <v>32.0</v>
      </c>
      <c r="K597" s="8">
        <v>80.5</v>
      </c>
      <c r="L597" s="9">
        <f t="shared" si="1"/>
        <v>281.4</v>
      </c>
      <c r="M597" s="9">
        <f t="shared" si="2"/>
        <v>172.8803339</v>
      </c>
      <c r="N597" s="9">
        <f t="shared" si="3"/>
        <v>280</v>
      </c>
      <c r="O597" s="9">
        <f t="shared" si="4"/>
        <v>321</v>
      </c>
      <c r="P597" s="9">
        <f t="shared" si="6"/>
        <v>270.8</v>
      </c>
      <c r="Q597" s="9">
        <f t="shared" ref="Q597:R597" si="596">average(L591:L597)</f>
        <v>292.4571429</v>
      </c>
      <c r="R597" s="9">
        <f t="shared" si="596"/>
        <v>192.7671419</v>
      </c>
      <c r="S597" s="11">
        <v>54.38</v>
      </c>
      <c r="T597" s="11">
        <v>49.4525</v>
      </c>
      <c r="U597" s="12">
        <v>9.86</v>
      </c>
      <c r="V597" s="12"/>
      <c r="W597" s="14">
        <f t="shared" si="543"/>
        <v>14.96976309</v>
      </c>
      <c r="X597" s="8">
        <v>32933.0</v>
      </c>
      <c r="Y597" s="8">
        <v>2150.0</v>
      </c>
      <c r="Z597" s="8"/>
      <c r="AA597" s="8">
        <v>15.358</v>
      </c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 ht="15.75" customHeight="1">
      <c r="A598" s="6">
        <v>597.0</v>
      </c>
      <c r="B598" s="7">
        <v>49906.0</v>
      </c>
      <c r="C598" s="8">
        <v>121.1</v>
      </c>
      <c r="D598" s="8">
        <v>90.92</v>
      </c>
      <c r="E598" s="8">
        <v>79.38</v>
      </c>
      <c r="F598" s="8">
        <v>121.1</v>
      </c>
      <c r="G598" s="8">
        <v>90.92</v>
      </c>
      <c r="H598" s="8">
        <v>79.38</v>
      </c>
      <c r="I598" s="8">
        <v>40.0</v>
      </c>
      <c r="J598" s="8">
        <v>24.6</v>
      </c>
      <c r="K598" s="8">
        <v>77.2</v>
      </c>
      <c r="L598" s="9">
        <f t="shared" si="1"/>
        <v>282.2</v>
      </c>
      <c r="M598" s="9">
        <f t="shared" si="2"/>
        <v>182.3977809</v>
      </c>
      <c r="N598" s="9">
        <f t="shared" si="3"/>
        <v>281.4</v>
      </c>
      <c r="O598" s="9">
        <f t="shared" si="4"/>
        <v>280</v>
      </c>
      <c r="P598" s="9">
        <f t="shared" si="6"/>
        <v>288.8</v>
      </c>
      <c r="Q598" s="9">
        <f t="shared" ref="Q598:R598" si="597">average(L592:L598)</f>
        <v>294.0857143</v>
      </c>
      <c r="R598" s="9">
        <f t="shared" si="597"/>
        <v>190.7062352</v>
      </c>
      <c r="S598" s="11">
        <v>53.79</v>
      </c>
      <c r="T598" s="11">
        <v>49.152499999999996</v>
      </c>
      <c r="U598" s="12">
        <v>10.0</v>
      </c>
      <c r="V598" s="12"/>
      <c r="W598" s="14">
        <f t="shared" si="543"/>
        <v>14.96988292</v>
      </c>
      <c r="X598" s="8">
        <v>32446.0</v>
      </c>
      <c r="Y598" s="8">
        <v>2155.0</v>
      </c>
      <c r="Z598" s="8"/>
      <c r="AA598" s="8">
        <v>15.231</v>
      </c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 ht="15.75" customHeight="1">
      <c r="A599" s="6">
        <v>598.0</v>
      </c>
      <c r="B599" s="7">
        <v>49907.0</v>
      </c>
      <c r="C599" s="8">
        <v>120.4</v>
      </c>
      <c r="D599" s="8">
        <v>89.31</v>
      </c>
      <c r="E599" s="8">
        <v>83.15</v>
      </c>
      <c r="F599" s="8">
        <v>120.4</v>
      </c>
      <c r="G599" s="8">
        <v>89.31</v>
      </c>
      <c r="H599" s="8">
        <v>83.15</v>
      </c>
      <c r="I599" s="8">
        <v>40.0</v>
      </c>
      <c r="J599" s="8">
        <v>22.9</v>
      </c>
      <c r="K599" s="8">
        <v>78.3</v>
      </c>
      <c r="L599" s="9">
        <f t="shared" si="1"/>
        <v>280.8</v>
      </c>
      <c r="M599" s="9">
        <f t="shared" si="2"/>
        <v>185.9934061</v>
      </c>
      <c r="N599" s="9">
        <f t="shared" si="3"/>
        <v>282.2</v>
      </c>
      <c r="O599" s="9">
        <f t="shared" si="4"/>
        <v>281.4</v>
      </c>
      <c r="P599" s="9">
        <f t="shared" si="6"/>
        <v>300.2</v>
      </c>
      <c r="Q599" s="9">
        <f t="shared" ref="Q599:R599" si="598">average(L593:L599)</f>
        <v>292.9428571</v>
      </c>
      <c r="R599" s="9">
        <f t="shared" si="598"/>
        <v>189.8018812</v>
      </c>
      <c r="S599" s="11">
        <v>53.59</v>
      </c>
      <c r="T599" s="11">
        <v>48.902499999999996</v>
      </c>
      <c r="U599" s="12">
        <v>9.2</v>
      </c>
      <c r="V599" s="12"/>
      <c r="W599" s="14">
        <f t="shared" si="543"/>
        <v>14.97010049</v>
      </c>
      <c r="X599" s="8">
        <v>30922.0</v>
      </c>
      <c r="Y599" s="8">
        <v>1910.0</v>
      </c>
      <c r="Z599" s="8"/>
      <c r="AA599" s="8">
        <v>14.424</v>
      </c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 ht="15.75" customHeight="1">
      <c r="A600" s="6">
        <v>599.0</v>
      </c>
      <c r="B600" s="7">
        <v>49908.0</v>
      </c>
      <c r="C600" s="8">
        <v>120.6</v>
      </c>
      <c r="D600" s="8">
        <v>88.23</v>
      </c>
      <c r="E600" s="8">
        <v>82.91</v>
      </c>
      <c r="F600" s="8">
        <v>120.6</v>
      </c>
      <c r="G600" s="8">
        <v>88.23</v>
      </c>
      <c r="H600" s="8">
        <v>82.91</v>
      </c>
      <c r="I600" s="8">
        <v>40.0</v>
      </c>
      <c r="J600" s="8">
        <v>29.1</v>
      </c>
      <c r="K600" s="8">
        <v>81.1</v>
      </c>
      <c r="L600" s="9">
        <f t="shared" si="1"/>
        <v>281.2</v>
      </c>
      <c r="M600" s="9">
        <f t="shared" si="2"/>
        <v>185.8814411</v>
      </c>
      <c r="N600" s="9">
        <f t="shared" si="3"/>
        <v>280.8</v>
      </c>
      <c r="O600" s="9">
        <f t="shared" si="4"/>
        <v>282.2</v>
      </c>
      <c r="P600" s="9">
        <f t="shared" si="6"/>
        <v>305</v>
      </c>
      <c r="Q600" s="9">
        <f t="shared" ref="Q600:R600" si="599">average(L594:L600)</f>
        <v>290.2285714</v>
      </c>
      <c r="R600" s="9">
        <f t="shared" si="599"/>
        <v>187.9448372</v>
      </c>
      <c r="S600" s="11">
        <v>53.63</v>
      </c>
      <c r="T600" s="11">
        <v>49.03</v>
      </c>
      <c r="U600" s="12">
        <v>10.19</v>
      </c>
      <c r="V600" s="12"/>
      <c r="W600" s="14">
        <f t="shared" si="543"/>
        <v>14.97036794</v>
      </c>
      <c r="X600" s="8">
        <v>29999.0</v>
      </c>
      <c r="Y600" s="8">
        <v>2205.0</v>
      </c>
      <c r="Z600" s="8"/>
      <c r="AA600" s="8">
        <v>13.123</v>
      </c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 ht="15.75" customHeight="1">
      <c r="A601" s="6">
        <v>600.0</v>
      </c>
      <c r="B601" s="7">
        <v>49909.0</v>
      </c>
      <c r="C601" s="8">
        <v>122.5</v>
      </c>
      <c r="D601" s="8">
        <v>89.15</v>
      </c>
      <c r="E601" s="8">
        <v>82.91</v>
      </c>
      <c r="F601" s="8">
        <v>122.5</v>
      </c>
      <c r="G601" s="8">
        <v>89.15</v>
      </c>
      <c r="H601" s="8">
        <v>82.91</v>
      </c>
      <c r="I601" s="8">
        <v>40.0</v>
      </c>
      <c r="J601" s="8">
        <v>25.7</v>
      </c>
      <c r="K601" s="8">
        <v>81.1</v>
      </c>
      <c r="L601" s="9">
        <f t="shared" si="1"/>
        <v>285</v>
      </c>
      <c r="M601" s="9">
        <f t="shared" si="2"/>
        <v>189.4270293</v>
      </c>
      <c r="N601" s="9">
        <f t="shared" si="3"/>
        <v>281.2</v>
      </c>
      <c r="O601" s="9">
        <f t="shared" si="4"/>
        <v>280.8</v>
      </c>
      <c r="P601" s="9">
        <f t="shared" si="6"/>
        <v>321</v>
      </c>
      <c r="Q601" s="9">
        <f t="shared" ref="Q601:R601" si="600">average(L595:L601)</f>
        <v>287.3714286</v>
      </c>
      <c r="R601" s="9">
        <f t="shared" si="600"/>
        <v>185.3801728</v>
      </c>
      <c r="S601" s="11">
        <v>53.9</v>
      </c>
      <c r="T601" s="11">
        <v>48.64</v>
      </c>
      <c r="U601" s="12">
        <v>10.46</v>
      </c>
      <c r="V601" s="12"/>
      <c r="W601" s="14">
        <f t="shared" si="543"/>
        <v>14.97063901</v>
      </c>
      <c r="X601" s="8">
        <v>27297.0</v>
      </c>
      <c r="Y601" s="8">
        <v>2181.0</v>
      </c>
      <c r="Z601" s="8"/>
      <c r="AA601" s="8">
        <v>12.573</v>
      </c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 ht="15.75" customHeight="1">
      <c r="A602" s="6">
        <v>601.0</v>
      </c>
      <c r="B602" s="7">
        <v>49910.0</v>
      </c>
      <c r="C602" s="8">
        <v>120.8</v>
      </c>
      <c r="D602" s="8">
        <v>91.2</v>
      </c>
      <c r="E602" s="8">
        <v>81.74</v>
      </c>
      <c r="F602" s="8">
        <v>120.8</v>
      </c>
      <c r="G602" s="8">
        <v>91.2</v>
      </c>
      <c r="H602" s="8">
        <v>81.74</v>
      </c>
      <c r="I602" s="8">
        <v>40.0</v>
      </c>
      <c r="J602" s="8">
        <v>23.4</v>
      </c>
      <c r="K602" s="8">
        <v>79.0</v>
      </c>
      <c r="L602" s="9">
        <f t="shared" si="1"/>
        <v>281.6</v>
      </c>
      <c r="M602" s="9">
        <f t="shared" si="2"/>
        <v>187.4996621</v>
      </c>
      <c r="N602" s="9">
        <f t="shared" si="3"/>
        <v>285</v>
      </c>
      <c r="O602" s="9">
        <f t="shared" si="4"/>
        <v>281.2</v>
      </c>
      <c r="P602" s="9">
        <f t="shared" si="6"/>
        <v>280</v>
      </c>
      <c r="Q602" s="9">
        <f t="shared" ref="Q602:R602" si="601">average(L596:L602)</f>
        <v>281.7428571</v>
      </c>
      <c r="R602" s="9">
        <f t="shared" si="601"/>
        <v>183.2088764</v>
      </c>
      <c r="S602" s="11">
        <v>53.32</v>
      </c>
      <c r="T602" s="11">
        <v>48.550000000000004</v>
      </c>
      <c r="U602" s="12">
        <v>9.66</v>
      </c>
      <c r="V602" s="12"/>
      <c r="W602" s="14">
        <f t="shared" si="543"/>
        <v>14.97085534</v>
      </c>
      <c r="X602" s="8">
        <v>31925.0</v>
      </c>
      <c r="Y602" s="8">
        <v>1870.0</v>
      </c>
      <c r="Z602" s="8"/>
      <c r="AA602" s="8">
        <v>15.154</v>
      </c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 ht="15.75" customHeight="1">
      <c r="A603" s="6">
        <v>602.0</v>
      </c>
      <c r="B603" s="7">
        <v>49911.0</v>
      </c>
      <c r="C603" s="8">
        <v>120.6</v>
      </c>
      <c r="D603" s="8">
        <v>91.08</v>
      </c>
      <c r="E603" s="8">
        <v>83.85</v>
      </c>
      <c r="F603" s="8">
        <v>120.6</v>
      </c>
      <c r="G603" s="8">
        <v>91.08</v>
      </c>
      <c r="H603" s="8">
        <v>83.85</v>
      </c>
      <c r="I603" s="8">
        <v>40.0</v>
      </c>
      <c r="J603" s="8">
        <v>26.0</v>
      </c>
      <c r="K603" s="8">
        <v>79.0</v>
      </c>
      <c r="L603" s="9">
        <f t="shared" si="1"/>
        <v>281.2</v>
      </c>
      <c r="M603" s="9">
        <f t="shared" si="2"/>
        <v>192.421839</v>
      </c>
      <c r="N603" s="9">
        <f t="shared" si="3"/>
        <v>281.6</v>
      </c>
      <c r="O603" s="9">
        <f t="shared" si="4"/>
        <v>285</v>
      </c>
      <c r="P603" s="9">
        <f t="shared" si="6"/>
        <v>281.4</v>
      </c>
      <c r="Q603" s="9">
        <f t="shared" ref="Q603:R603" si="602">average(L597:L603)</f>
        <v>281.9142857</v>
      </c>
      <c r="R603" s="9">
        <f t="shared" si="602"/>
        <v>185.2144989</v>
      </c>
      <c r="S603" s="11">
        <v>52.83</v>
      </c>
      <c r="T603" s="11">
        <v>48.5775</v>
      </c>
      <c r="U603" s="12">
        <v>8.09</v>
      </c>
      <c r="V603" s="12"/>
      <c r="W603" s="14">
        <f t="shared" si="543"/>
        <v>14.97097515</v>
      </c>
      <c r="X603" s="8">
        <v>32181.0</v>
      </c>
      <c r="Y603" s="8">
        <v>1740.0</v>
      </c>
      <c r="Z603" s="8"/>
      <c r="AA603" s="8">
        <v>14.916</v>
      </c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 ht="15.75" customHeight="1">
      <c r="A604" s="6">
        <v>603.0</v>
      </c>
      <c r="B604" s="7">
        <v>49912.0</v>
      </c>
      <c r="C604" s="8">
        <v>122.5</v>
      </c>
      <c r="D604" s="8">
        <v>86.4</v>
      </c>
      <c r="E604" s="8">
        <v>82.38</v>
      </c>
      <c r="F604" s="8">
        <v>122.5</v>
      </c>
      <c r="G604" s="8">
        <v>86.4</v>
      </c>
      <c r="H604" s="8">
        <v>82.38</v>
      </c>
      <c r="I604" s="8">
        <v>40.0</v>
      </c>
      <c r="J604" s="8">
        <v>28.0</v>
      </c>
      <c r="K604" s="8">
        <v>85.7</v>
      </c>
      <c r="L604" s="9">
        <f t="shared" si="1"/>
        <v>285</v>
      </c>
      <c r="M604" s="9">
        <f t="shared" si="2"/>
        <v>183.980384</v>
      </c>
      <c r="N604" s="9">
        <f t="shared" si="3"/>
        <v>281.2</v>
      </c>
      <c r="O604" s="9">
        <f t="shared" si="4"/>
        <v>281.6</v>
      </c>
      <c r="P604" s="9">
        <f t="shared" si="6"/>
        <v>282.2</v>
      </c>
      <c r="Q604" s="9">
        <f t="shared" ref="Q604:R604" si="603">average(L598:L604)</f>
        <v>282.4285714</v>
      </c>
      <c r="R604" s="9">
        <f t="shared" si="603"/>
        <v>186.8002203</v>
      </c>
      <c r="S604" s="11">
        <v>51.0</v>
      </c>
      <c r="T604" s="11">
        <v>47.754999999999995</v>
      </c>
      <c r="U604" s="12">
        <v>7.79</v>
      </c>
      <c r="V604" s="12"/>
      <c r="W604" s="14">
        <f t="shared" si="543"/>
        <v>14.97099401</v>
      </c>
      <c r="X604" s="8">
        <v>29893.0</v>
      </c>
      <c r="Y604" s="8">
        <v>1860.0</v>
      </c>
      <c r="Z604" s="8"/>
      <c r="AA604" s="8">
        <v>13.223</v>
      </c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 ht="15.75" customHeight="1">
      <c r="A605" s="6">
        <v>604.0</v>
      </c>
      <c r="B605" s="7">
        <v>49913.0</v>
      </c>
      <c r="C605" s="8">
        <v>120.0</v>
      </c>
      <c r="D605" s="8">
        <v>90.61</v>
      </c>
      <c r="E605" s="8">
        <v>82.06</v>
      </c>
      <c r="F605" s="8">
        <v>120.0</v>
      </c>
      <c r="G605" s="8">
        <v>90.61</v>
      </c>
      <c r="H605" s="8">
        <v>82.06</v>
      </c>
      <c r="I605" s="8">
        <v>40.0</v>
      </c>
      <c r="J605" s="8">
        <v>29.1</v>
      </c>
      <c r="K605" s="8">
        <v>82.2</v>
      </c>
      <c r="L605" s="9">
        <f t="shared" si="1"/>
        <v>280</v>
      </c>
      <c r="M605" s="9">
        <f t="shared" si="2"/>
        <v>188.0190384</v>
      </c>
      <c r="N605" s="9">
        <f t="shared" si="3"/>
        <v>285</v>
      </c>
      <c r="O605" s="9">
        <f t="shared" si="4"/>
        <v>281.2</v>
      </c>
      <c r="P605" s="9">
        <f t="shared" si="6"/>
        <v>280.8</v>
      </c>
      <c r="Q605" s="9">
        <f t="shared" ref="Q605:R605" si="604">average(L599:L605)</f>
        <v>282.1142857</v>
      </c>
      <c r="R605" s="9">
        <f t="shared" si="604"/>
        <v>187.6032571</v>
      </c>
      <c r="S605" s="11">
        <v>51.77</v>
      </c>
      <c r="T605" s="11">
        <v>47.692499999999995</v>
      </c>
      <c r="U605" s="12">
        <v>11.58</v>
      </c>
      <c r="V605" s="12"/>
      <c r="W605" s="14">
        <f t="shared" si="543"/>
        <v>14.97092452</v>
      </c>
      <c r="X605" s="8">
        <v>26701.0</v>
      </c>
      <c r="Y605" s="8">
        <v>2455.0</v>
      </c>
      <c r="Z605" s="8"/>
      <c r="AA605" s="8">
        <v>12.583</v>
      </c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 ht="15.75" customHeight="1">
      <c r="A606" s="6">
        <v>605.0</v>
      </c>
      <c r="B606" s="7">
        <v>49914.0</v>
      </c>
      <c r="C606" s="8">
        <v>116.5</v>
      </c>
      <c r="D606" s="8">
        <v>89.55</v>
      </c>
      <c r="E606" s="8">
        <v>82.57</v>
      </c>
      <c r="F606" s="8">
        <v>116.5</v>
      </c>
      <c r="G606" s="8">
        <v>89.55</v>
      </c>
      <c r="H606" s="8">
        <v>82.57</v>
      </c>
      <c r="I606" s="8">
        <v>40.0</v>
      </c>
      <c r="J606" s="8">
        <v>36.6</v>
      </c>
      <c r="K606" s="8">
        <v>86.6</v>
      </c>
      <c r="L606" s="9">
        <f t="shared" si="1"/>
        <v>273</v>
      </c>
      <c r="M606" s="9">
        <f t="shared" si="2"/>
        <v>184.9617836</v>
      </c>
      <c r="N606" s="9">
        <f t="shared" si="3"/>
        <v>280</v>
      </c>
      <c r="O606" s="9">
        <f t="shared" si="4"/>
        <v>285</v>
      </c>
      <c r="P606" s="9">
        <f t="shared" si="6"/>
        <v>281.2</v>
      </c>
      <c r="Q606" s="9">
        <f t="shared" ref="Q606:R606" si="605">average(L600:L606)</f>
        <v>281</v>
      </c>
      <c r="R606" s="9">
        <f t="shared" si="605"/>
        <v>187.4558825</v>
      </c>
      <c r="S606" s="11">
        <v>50.47</v>
      </c>
      <c r="T606" s="11">
        <v>47.9625</v>
      </c>
      <c r="U606" s="12">
        <v>7.75</v>
      </c>
      <c r="V606" s="12"/>
      <c r="W606" s="14">
        <f t="shared" si="543"/>
        <v>14.97080066</v>
      </c>
      <c r="X606" s="8">
        <v>24481.0</v>
      </c>
      <c r="Y606" s="8">
        <v>1785.0</v>
      </c>
      <c r="Z606" s="8"/>
      <c r="AA606" s="8">
        <v>12.138</v>
      </c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 ht="15.75" customHeight="1">
      <c r="A607" s="6">
        <v>606.0</v>
      </c>
      <c r="B607" s="7">
        <v>49915.0</v>
      </c>
      <c r="C607" s="8">
        <v>120.9</v>
      </c>
      <c r="D607" s="8">
        <v>85.38</v>
      </c>
      <c r="E607" s="8">
        <v>81.06</v>
      </c>
      <c r="F607" s="8">
        <v>120.9</v>
      </c>
      <c r="G607" s="8">
        <v>85.38</v>
      </c>
      <c r="H607" s="8">
        <v>81.06</v>
      </c>
      <c r="I607" s="8">
        <v>40.0</v>
      </c>
      <c r="J607" s="8">
        <v>32.0</v>
      </c>
      <c r="K607" s="8">
        <v>82.6</v>
      </c>
      <c r="L607" s="9">
        <f t="shared" si="1"/>
        <v>281.8</v>
      </c>
      <c r="M607" s="9">
        <f t="shared" si="2"/>
        <v>177.9202297</v>
      </c>
      <c r="N607" s="9">
        <f t="shared" si="3"/>
        <v>273</v>
      </c>
      <c r="O607" s="9">
        <f t="shared" si="4"/>
        <v>280</v>
      </c>
      <c r="P607" s="9">
        <f t="shared" si="6"/>
        <v>285</v>
      </c>
      <c r="Q607" s="9">
        <f t="shared" ref="Q607:R607" si="606">average(L601:L607)</f>
        <v>281.0857143</v>
      </c>
      <c r="R607" s="9">
        <f t="shared" si="606"/>
        <v>186.3185666</v>
      </c>
      <c r="S607" s="11">
        <v>50.64</v>
      </c>
      <c r="T607" s="11">
        <v>48.0525</v>
      </c>
      <c r="U607" s="12">
        <v>9.93</v>
      </c>
      <c r="V607" s="12"/>
      <c r="W607" s="14">
        <f t="shared" si="543"/>
        <v>14.97065214</v>
      </c>
      <c r="X607" s="8">
        <v>28249.0</v>
      </c>
      <c r="Y607" s="8">
        <v>1970.0</v>
      </c>
      <c r="Z607" s="8"/>
      <c r="AA607" s="8">
        <v>14.208</v>
      </c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 ht="15.75" customHeight="1">
      <c r="A608" s="6">
        <v>607.0</v>
      </c>
      <c r="B608" s="7">
        <v>49916.0</v>
      </c>
      <c r="C608" s="8">
        <v>120.5</v>
      </c>
      <c r="D608" s="8">
        <v>90.64</v>
      </c>
      <c r="E608" s="8">
        <v>78.14</v>
      </c>
      <c r="F608" s="8">
        <v>120.5</v>
      </c>
      <c r="G608" s="8">
        <v>90.64</v>
      </c>
      <c r="H608" s="8">
        <v>78.14</v>
      </c>
      <c r="I608" s="8">
        <v>40.0</v>
      </c>
      <c r="J608" s="8">
        <v>24.1</v>
      </c>
      <c r="K608" s="8">
        <v>80.9</v>
      </c>
      <c r="L608" s="9">
        <f t="shared" si="1"/>
        <v>281</v>
      </c>
      <c r="M608" s="9">
        <f t="shared" si="2"/>
        <v>178.4896514</v>
      </c>
      <c r="N608" s="9">
        <f t="shared" si="3"/>
        <v>281.8</v>
      </c>
      <c r="O608" s="9">
        <f t="shared" si="4"/>
        <v>273</v>
      </c>
      <c r="P608" s="9">
        <f t="shared" si="6"/>
        <v>281.6</v>
      </c>
      <c r="Q608" s="9">
        <f t="shared" ref="Q608:R608" si="607">average(L602:L608)</f>
        <v>280.5142857</v>
      </c>
      <c r="R608" s="9">
        <f t="shared" si="607"/>
        <v>184.756084</v>
      </c>
      <c r="S608" s="11">
        <v>51.32</v>
      </c>
      <c r="T608" s="11">
        <v>48.56999999999999</v>
      </c>
      <c r="U608" s="12">
        <v>7.92</v>
      </c>
      <c r="V608" s="12"/>
      <c r="W608" s="14">
        <f t="shared" si="543"/>
        <v>14.97051778</v>
      </c>
      <c r="X608" s="8">
        <v>29185.0</v>
      </c>
      <c r="Y608" s="8">
        <v>1790.0</v>
      </c>
      <c r="Z608" s="8"/>
      <c r="AA608" s="8">
        <v>14.615</v>
      </c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 ht="15.75" customHeight="1">
      <c r="A609" s="6">
        <v>608.0</v>
      </c>
      <c r="B609" s="7">
        <v>49917.0</v>
      </c>
      <c r="C609" s="8">
        <v>120.2</v>
      </c>
      <c r="D609" s="8">
        <v>89.49</v>
      </c>
      <c r="E609" s="8">
        <v>82.14</v>
      </c>
      <c r="F609" s="8">
        <v>120.2</v>
      </c>
      <c r="G609" s="8">
        <v>89.49</v>
      </c>
      <c r="H609" s="8">
        <v>82.14</v>
      </c>
      <c r="I609" s="8">
        <v>40.0</v>
      </c>
      <c r="J609" s="8">
        <v>26.3</v>
      </c>
      <c r="K609" s="8">
        <v>80.1</v>
      </c>
      <c r="L609" s="9">
        <f t="shared" si="1"/>
        <v>280.4</v>
      </c>
      <c r="M609" s="9">
        <f t="shared" si="2"/>
        <v>185.1375547</v>
      </c>
      <c r="N609" s="9">
        <f t="shared" si="3"/>
        <v>281</v>
      </c>
      <c r="O609" s="9">
        <f t="shared" si="4"/>
        <v>281.8</v>
      </c>
      <c r="P609" s="9">
        <f t="shared" si="6"/>
        <v>281.2</v>
      </c>
      <c r="Q609" s="9">
        <f t="shared" ref="Q609:R609" si="608">average(L603:L609)</f>
        <v>280.3428571</v>
      </c>
      <c r="R609" s="9">
        <f t="shared" si="608"/>
        <v>184.4186401</v>
      </c>
      <c r="S609" s="11">
        <v>51.64</v>
      </c>
      <c r="T609" s="11">
        <v>48.8525</v>
      </c>
      <c r="U609" s="12">
        <v>8.74</v>
      </c>
      <c r="V609" s="12"/>
      <c r="W609" s="14">
        <f t="shared" si="543"/>
        <v>14.97044699</v>
      </c>
      <c r="X609" s="8">
        <v>31137.0</v>
      </c>
      <c r="Y609" s="8">
        <v>1730.0</v>
      </c>
      <c r="Z609" s="8"/>
      <c r="AA609" s="8">
        <v>15.548</v>
      </c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 ht="15.75" customHeight="1">
      <c r="A610" s="6">
        <v>609.0</v>
      </c>
      <c r="B610" s="7">
        <v>49918.0</v>
      </c>
      <c r="C610" s="8">
        <v>120.8</v>
      </c>
      <c r="D610" s="8">
        <v>89.5</v>
      </c>
      <c r="E610" s="8">
        <v>80.26</v>
      </c>
      <c r="F610" s="8">
        <v>120.8</v>
      </c>
      <c r="G610" s="8">
        <v>89.5</v>
      </c>
      <c r="H610" s="8">
        <v>80.26</v>
      </c>
      <c r="I610" s="8">
        <v>40.0</v>
      </c>
      <c r="J610" s="8">
        <v>25.5</v>
      </c>
      <c r="K610" s="8">
        <v>78.7</v>
      </c>
      <c r="L610" s="9">
        <f t="shared" si="1"/>
        <v>281.6</v>
      </c>
      <c r="M610" s="9">
        <f t="shared" si="2"/>
        <v>181.5752032</v>
      </c>
      <c r="N610" s="9">
        <f t="shared" si="3"/>
        <v>280.4</v>
      </c>
      <c r="O610" s="9">
        <f t="shared" si="4"/>
        <v>281</v>
      </c>
      <c r="P610" s="9">
        <f t="shared" si="6"/>
        <v>285</v>
      </c>
      <c r="Q610" s="9">
        <f t="shared" ref="Q610:R610" si="609">average(L604:L610)</f>
        <v>280.4</v>
      </c>
      <c r="R610" s="9">
        <f t="shared" si="609"/>
        <v>182.8691207</v>
      </c>
      <c r="S610" s="11">
        <v>51.57</v>
      </c>
      <c r="T610" s="11">
        <v>48.9475</v>
      </c>
      <c r="U610" s="12">
        <v>9.16</v>
      </c>
      <c r="V610" s="12"/>
      <c r="W610" s="14">
        <f t="shared" si="543"/>
        <v>14.97042519</v>
      </c>
      <c r="X610" s="8">
        <v>20140.0</v>
      </c>
      <c r="Y610" s="8">
        <v>1880.0</v>
      </c>
      <c r="Z610" s="8"/>
      <c r="AA610" s="8">
        <v>15.074</v>
      </c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 ht="15.75" customHeight="1">
      <c r="A611" s="6">
        <v>610.0</v>
      </c>
      <c r="B611" s="7">
        <v>49919.0</v>
      </c>
      <c r="C611" s="8">
        <v>120.7</v>
      </c>
      <c r="D611" s="8">
        <v>89.96</v>
      </c>
      <c r="E611" s="8">
        <v>80.03</v>
      </c>
      <c r="F611" s="8">
        <v>120.7</v>
      </c>
      <c r="G611" s="8">
        <v>89.96</v>
      </c>
      <c r="H611" s="8">
        <v>80.03</v>
      </c>
      <c r="I611" s="8">
        <v>40.0</v>
      </c>
      <c r="J611" s="8">
        <v>25.4</v>
      </c>
      <c r="K611" s="8">
        <v>78.8</v>
      </c>
      <c r="L611" s="9">
        <f t="shared" si="1"/>
        <v>281.4</v>
      </c>
      <c r="M611" s="9">
        <f t="shared" si="2"/>
        <v>181.801981</v>
      </c>
      <c r="N611" s="9">
        <f t="shared" si="3"/>
        <v>281.6</v>
      </c>
      <c r="O611" s="9">
        <f t="shared" si="4"/>
        <v>280.4</v>
      </c>
      <c r="P611" s="9">
        <f t="shared" si="6"/>
        <v>280</v>
      </c>
      <c r="Q611" s="9">
        <f t="shared" ref="Q611:R611" si="610">average(L605:L611)</f>
        <v>279.8857143</v>
      </c>
      <c r="R611" s="9">
        <f t="shared" si="610"/>
        <v>182.5579203</v>
      </c>
      <c r="S611" s="11">
        <v>51.65</v>
      </c>
      <c r="T611" s="11">
        <v>47.129999999999995</v>
      </c>
      <c r="U611" s="12">
        <v>7.19</v>
      </c>
      <c r="V611" s="12"/>
      <c r="W611" s="14">
        <f t="shared" si="543"/>
        <v>14.97043778</v>
      </c>
      <c r="X611" s="8">
        <v>28996.0</v>
      </c>
      <c r="Y611" s="8">
        <v>1445.0</v>
      </c>
      <c r="Z611" s="8"/>
      <c r="AA611" s="8">
        <v>14.878</v>
      </c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 ht="15.75" customHeight="1">
      <c r="A612" s="6">
        <v>611.0</v>
      </c>
      <c r="B612" s="7">
        <v>49920.0</v>
      </c>
      <c r="C612" s="8">
        <v>120.3</v>
      </c>
      <c r="D612" s="8">
        <v>88.3</v>
      </c>
      <c r="E612" s="8">
        <v>76.98</v>
      </c>
      <c r="F612" s="8">
        <v>120.3</v>
      </c>
      <c r="G612" s="8">
        <v>88.3</v>
      </c>
      <c r="H612" s="8">
        <v>76.98</v>
      </c>
      <c r="I612" s="8">
        <v>40.0</v>
      </c>
      <c r="J612" s="8">
        <v>34.1</v>
      </c>
      <c r="K612" s="8">
        <v>84.7</v>
      </c>
      <c r="L612" s="9">
        <f t="shared" si="1"/>
        <v>280.6</v>
      </c>
      <c r="M612" s="9">
        <f t="shared" si="2"/>
        <v>175.096936</v>
      </c>
      <c r="N612" s="9">
        <f t="shared" si="3"/>
        <v>281.4</v>
      </c>
      <c r="O612" s="9">
        <f t="shared" si="4"/>
        <v>281.6</v>
      </c>
      <c r="P612" s="9">
        <f t="shared" si="6"/>
        <v>273</v>
      </c>
      <c r="Q612" s="9">
        <f t="shared" ref="Q612:R612" si="611">average(L606:L612)</f>
        <v>279.9714286</v>
      </c>
      <c r="R612" s="9">
        <f t="shared" si="611"/>
        <v>180.7119057</v>
      </c>
      <c r="S612" s="11">
        <v>51.76</v>
      </c>
      <c r="T612" s="11">
        <v>47.6675</v>
      </c>
      <c r="U612" s="12">
        <v>10.53</v>
      </c>
      <c r="V612" s="12"/>
      <c r="W612" s="14">
        <f t="shared" si="543"/>
        <v>14.97047176</v>
      </c>
      <c r="X612" s="8">
        <v>28828.0</v>
      </c>
      <c r="Y612" s="8">
        <v>2190.0</v>
      </c>
      <c r="Z612" s="8"/>
      <c r="AA612" s="8">
        <v>13.833</v>
      </c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 ht="15.75" customHeight="1">
      <c r="A613" s="6">
        <v>612.0</v>
      </c>
      <c r="B613" s="7">
        <v>49921.0</v>
      </c>
      <c r="C613" s="8">
        <v>120.4</v>
      </c>
      <c r="D613" s="8">
        <v>90.31</v>
      </c>
      <c r="E613" s="8">
        <v>79.96</v>
      </c>
      <c r="F613" s="8">
        <v>120.4</v>
      </c>
      <c r="G613" s="8">
        <v>90.31</v>
      </c>
      <c r="H613" s="8">
        <v>79.96</v>
      </c>
      <c r="I613" s="8">
        <v>40.0</v>
      </c>
      <c r="J613" s="8">
        <v>31.3</v>
      </c>
      <c r="K613" s="8">
        <v>83.1</v>
      </c>
      <c r="L613" s="9">
        <f t="shared" si="1"/>
        <v>280.8</v>
      </c>
      <c r="M613" s="9">
        <f t="shared" si="2"/>
        <v>184.2903174</v>
      </c>
      <c r="N613" s="9">
        <f t="shared" si="3"/>
        <v>280.6</v>
      </c>
      <c r="O613" s="9">
        <f t="shared" si="4"/>
        <v>281.4</v>
      </c>
      <c r="P613" s="9">
        <f t="shared" si="6"/>
        <v>281.8</v>
      </c>
      <c r="Q613" s="9">
        <f t="shared" ref="Q613:R613" si="612">average(L607:L613)</f>
        <v>281.0857143</v>
      </c>
      <c r="R613" s="9">
        <f t="shared" si="612"/>
        <v>180.6159819</v>
      </c>
      <c r="S613" s="11">
        <v>53.26</v>
      </c>
      <c r="T613" s="11">
        <v>49.11</v>
      </c>
      <c r="U613" s="12">
        <v>7.95</v>
      </c>
      <c r="V613" s="12"/>
      <c r="W613" s="14">
        <f t="shared" si="543"/>
        <v>14.97051592</v>
      </c>
      <c r="X613" s="8">
        <v>33075.0</v>
      </c>
      <c r="Y613" s="8">
        <v>1750.0</v>
      </c>
      <c r="Z613" s="8"/>
      <c r="AA613" s="8">
        <v>15.39</v>
      </c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 ht="15.75" customHeight="1">
      <c r="A614" s="6">
        <v>613.0</v>
      </c>
      <c r="B614" s="7">
        <v>49922.0</v>
      </c>
      <c r="C614" s="8">
        <v>120.3</v>
      </c>
      <c r="D614" s="8">
        <v>91.41</v>
      </c>
      <c r="E614" s="8">
        <v>83.81</v>
      </c>
      <c r="F614" s="8">
        <v>120.3</v>
      </c>
      <c r="G614" s="8">
        <v>91.41</v>
      </c>
      <c r="H614" s="8">
        <v>83.81</v>
      </c>
      <c r="I614" s="8">
        <v>40.0</v>
      </c>
      <c r="J614" s="8">
        <v>33.0</v>
      </c>
      <c r="K614" s="8">
        <v>76.6</v>
      </c>
      <c r="L614" s="9">
        <f t="shared" si="1"/>
        <v>280.6</v>
      </c>
      <c r="M614" s="9">
        <f t="shared" si="2"/>
        <v>194.4365947</v>
      </c>
      <c r="N614" s="9">
        <f t="shared" si="3"/>
        <v>280.8</v>
      </c>
      <c r="O614" s="9">
        <f t="shared" si="4"/>
        <v>280.6</v>
      </c>
      <c r="P614" s="9">
        <f t="shared" si="6"/>
        <v>281</v>
      </c>
      <c r="Q614" s="9">
        <f t="shared" ref="Q614:R614" si="613">average(L608:L614)</f>
        <v>280.9142857</v>
      </c>
      <c r="R614" s="9">
        <f t="shared" si="613"/>
        <v>182.9754626</v>
      </c>
      <c r="S614" s="11">
        <v>52.37</v>
      </c>
      <c r="T614" s="11">
        <v>46.7275</v>
      </c>
      <c r="U614" s="12">
        <v>11.18</v>
      </c>
      <c r="V614" s="12"/>
      <c r="W614" s="14">
        <f t="shared" si="543"/>
        <v>14.97056297</v>
      </c>
      <c r="X614" s="8">
        <v>31236.0</v>
      </c>
      <c r="Y614" s="8">
        <v>2350.0</v>
      </c>
      <c r="Z614" s="8"/>
      <c r="AA614" s="8">
        <v>14.257</v>
      </c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 ht="15.75" customHeight="1">
      <c r="A615" s="6">
        <v>614.0</v>
      </c>
      <c r="B615" s="7">
        <v>49923.0</v>
      </c>
      <c r="C615" s="8">
        <v>120.7</v>
      </c>
      <c r="D615" s="8">
        <v>88.74</v>
      </c>
      <c r="E615" s="8">
        <v>79.03</v>
      </c>
      <c r="F615" s="8">
        <v>120.7</v>
      </c>
      <c r="G615" s="8">
        <v>88.74</v>
      </c>
      <c r="H615" s="8">
        <v>79.03</v>
      </c>
      <c r="I615" s="8">
        <v>40.0</v>
      </c>
      <c r="J615" s="8">
        <v>25.7</v>
      </c>
      <c r="K615" s="8">
        <v>78.8</v>
      </c>
      <c r="L615" s="9">
        <f t="shared" si="1"/>
        <v>281.4</v>
      </c>
      <c r="M615" s="9">
        <f t="shared" si="2"/>
        <v>177.3974099</v>
      </c>
      <c r="N615" s="9">
        <f t="shared" si="3"/>
        <v>280.6</v>
      </c>
      <c r="O615" s="9">
        <f t="shared" si="4"/>
        <v>280.8</v>
      </c>
      <c r="P615" s="9">
        <f t="shared" si="6"/>
        <v>280.4</v>
      </c>
      <c r="Q615" s="9">
        <f t="shared" ref="Q615:R615" si="614">average(L609:L615)</f>
        <v>280.9714286</v>
      </c>
      <c r="R615" s="9">
        <f t="shared" si="614"/>
        <v>182.8194282</v>
      </c>
      <c r="S615" s="11">
        <v>54.88</v>
      </c>
      <c r="T615" s="11">
        <v>47.1075</v>
      </c>
      <c r="U615" s="12">
        <v>9.74</v>
      </c>
      <c r="V615" s="12"/>
      <c r="W615" s="14">
        <f t="shared" si="543"/>
        <v>14.97060548</v>
      </c>
      <c r="X615" s="8">
        <v>30159.0</v>
      </c>
      <c r="Y615" s="8">
        <v>2340.0</v>
      </c>
      <c r="Z615" s="8"/>
      <c r="AA615" s="8">
        <v>13.414</v>
      </c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 ht="15.75" customHeight="1">
      <c r="A616" s="6">
        <v>615.0</v>
      </c>
      <c r="B616" s="7">
        <v>49924.0</v>
      </c>
      <c r="C616" s="8">
        <v>120.8</v>
      </c>
      <c r="D616" s="8">
        <v>89.02</v>
      </c>
      <c r="E616" s="8">
        <v>82.76</v>
      </c>
      <c r="F616" s="8">
        <v>120.8</v>
      </c>
      <c r="G616" s="8">
        <v>89.02</v>
      </c>
      <c r="H616" s="8">
        <v>82.76</v>
      </c>
      <c r="I616" s="8">
        <v>40.0</v>
      </c>
      <c r="J616" s="8">
        <v>24.9</v>
      </c>
      <c r="K616" s="8">
        <v>79.5</v>
      </c>
      <c r="L616" s="9">
        <f t="shared" si="1"/>
        <v>281.6</v>
      </c>
      <c r="M616" s="9">
        <f t="shared" si="2"/>
        <v>185.912052</v>
      </c>
      <c r="N616" s="9">
        <f t="shared" si="3"/>
        <v>281.4</v>
      </c>
      <c r="O616" s="9">
        <f t="shared" si="4"/>
        <v>280.6</v>
      </c>
      <c r="P616" s="9">
        <f t="shared" si="6"/>
        <v>281.6</v>
      </c>
      <c r="Q616" s="9">
        <f t="shared" ref="Q616:R616" si="615">average(L610:L616)</f>
        <v>281.1428571</v>
      </c>
      <c r="R616" s="9">
        <f t="shared" si="615"/>
        <v>182.9300706</v>
      </c>
      <c r="S616" s="11">
        <v>54.58</v>
      </c>
      <c r="T616" s="11">
        <v>47.1225</v>
      </c>
      <c r="U616" s="12">
        <v>7.65</v>
      </c>
      <c r="V616" s="12"/>
      <c r="W616" s="14">
        <f t="shared" si="543"/>
        <v>14.97063704</v>
      </c>
      <c r="X616" s="8">
        <v>31379.0</v>
      </c>
      <c r="Y616" s="8">
        <v>1690.0</v>
      </c>
      <c r="Z616" s="8"/>
      <c r="AA616" s="8">
        <v>14.122</v>
      </c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 ht="15.75" customHeight="1">
      <c r="A617" s="6">
        <v>616.0</v>
      </c>
      <c r="B617" s="7">
        <v>49925.0</v>
      </c>
      <c r="C617" s="8">
        <v>120.4</v>
      </c>
      <c r="D617" s="8">
        <v>87.15</v>
      </c>
      <c r="E617" s="8">
        <v>81.59</v>
      </c>
      <c r="F617" s="8">
        <v>120.4</v>
      </c>
      <c r="G617" s="8">
        <v>87.15</v>
      </c>
      <c r="H617" s="8">
        <v>81.59</v>
      </c>
      <c r="I617" s="8">
        <v>40.0</v>
      </c>
      <c r="J617" s="8">
        <v>33.5</v>
      </c>
      <c r="K617" s="8">
        <v>85.0</v>
      </c>
      <c r="L617" s="9">
        <f t="shared" si="1"/>
        <v>280.8</v>
      </c>
      <c r="M617" s="9">
        <f t="shared" si="2"/>
        <v>182.6124895</v>
      </c>
      <c r="N617" s="9">
        <f t="shared" si="3"/>
        <v>281.6</v>
      </c>
      <c r="O617" s="9">
        <f t="shared" si="4"/>
        <v>281.4</v>
      </c>
      <c r="P617" s="9">
        <f t="shared" si="6"/>
        <v>281.4</v>
      </c>
      <c r="Q617" s="9">
        <f t="shared" ref="Q617:R617" si="616">average(L611:L617)</f>
        <v>281.0285714</v>
      </c>
      <c r="R617" s="9">
        <f t="shared" si="616"/>
        <v>183.0782544</v>
      </c>
      <c r="S617" s="11">
        <v>55.03</v>
      </c>
      <c r="T617" s="11">
        <v>46.7975</v>
      </c>
      <c r="U617" s="12">
        <v>7.7</v>
      </c>
      <c r="V617" s="12"/>
      <c r="W617" s="14">
        <f t="shared" si="543"/>
        <v>14.97065386</v>
      </c>
      <c r="X617" s="8">
        <v>30718.0</v>
      </c>
      <c r="Y617" s="8">
        <v>1475.0</v>
      </c>
      <c r="Z617" s="8"/>
      <c r="AA617" s="8">
        <v>13.761</v>
      </c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 ht="15.75" customHeight="1">
      <c r="A618" s="6">
        <v>617.0</v>
      </c>
      <c r="B618" s="7">
        <v>49926.0</v>
      </c>
      <c r="C618" s="8">
        <v>120.6</v>
      </c>
      <c r="D618" s="8">
        <v>87.95</v>
      </c>
      <c r="E618" s="8">
        <v>81.17</v>
      </c>
      <c r="F618" s="8">
        <v>120.6</v>
      </c>
      <c r="G618" s="8">
        <v>87.95</v>
      </c>
      <c r="H618" s="8">
        <v>81.17</v>
      </c>
      <c r="I618" s="8">
        <v>40.0</v>
      </c>
      <c r="J618" s="8">
        <v>29.0</v>
      </c>
      <c r="K618" s="8">
        <v>78.9</v>
      </c>
      <c r="L618" s="9">
        <f t="shared" si="1"/>
        <v>281.2</v>
      </c>
      <c r="M618" s="9">
        <f t="shared" si="2"/>
        <v>181.3427042</v>
      </c>
      <c r="N618" s="9">
        <f t="shared" si="3"/>
        <v>280.8</v>
      </c>
      <c r="O618" s="9">
        <f t="shared" si="4"/>
        <v>281.6</v>
      </c>
      <c r="P618" s="9">
        <f t="shared" si="6"/>
        <v>280.6</v>
      </c>
      <c r="Q618" s="9">
        <f t="shared" ref="Q618:R618" si="617">average(L612:L618)</f>
        <v>281</v>
      </c>
      <c r="R618" s="9">
        <f t="shared" si="617"/>
        <v>183.0126434</v>
      </c>
      <c r="S618" s="11">
        <v>54.62</v>
      </c>
      <c r="T618" s="11">
        <v>46.92</v>
      </c>
      <c r="U618" s="12">
        <v>8.86</v>
      </c>
      <c r="V618" s="12"/>
      <c r="W618" s="14">
        <f t="shared" si="543"/>
        <v>14.97065479</v>
      </c>
      <c r="X618" s="8">
        <v>29547.0</v>
      </c>
      <c r="Y618" s="8">
        <v>1835.0</v>
      </c>
      <c r="Z618" s="8"/>
      <c r="AA618" s="8">
        <v>12.961</v>
      </c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 ht="15.75" customHeight="1">
      <c r="A619" s="6">
        <v>618.0</v>
      </c>
      <c r="B619" s="7">
        <v>49927.0</v>
      </c>
      <c r="C619" s="8">
        <v>120.2</v>
      </c>
      <c r="D619" s="8">
        <v>86.09</v>
      </c>
      <c r="E619" s="8">
        <v>78.25</v>
      </c>
      <c r="F619" s="8">
        <v>120.2</v>
      </c>
      <c r="G619" s="8">
        <v>86.09</v>
      </c>
      <c r="H619" s="8">
        <v>78.25</v>
      </c>
      <c r="I619" s="8">
        <v>40.0</v>
      </c>
      <c r="J619" s="8">
        <v>25.8</v>
      </c>
      <c r="K619" s="8">
        <v>79.2</v>
      </c>
      <c r="L619" s="9">
        <f t="shared" si="1"/>
        <v>280.4</v>
      </c>
      <c r="M619" s="9">
        <f t="shared" si="2"/>
        <v>170.1199217</v>
      </c>
      <c r="N619" s="9">
        <f t="shared" si="3"/>
        <v>281.2</v>
      </c>
      <c r="O619" s="9">
        <f t="shared" si="4"/>
        <v>280.8</v>
      </c>
      <c r="P619" s="9">
        <f t="shared" si="6"/>
        <v>280.8</v>
      </c>
      <c r="Q619" s="9">
        <f t="shared" ref="Q619:R619" si="618">average(L613:L619)</f>
        <v>280.9714286</v>
      </c>
      <c r="R619" s="9">
        <f t="shared" si="618"/>
        <v>182.3016413</v>
      </c>
      <c r="S619" s="11">
        <v>54.87</v>
      </c>
      <c r="T619" s="11">
        <v>47.160000000000004</v>
      </c>
      <c r="U619" s="12">
        <v>10.29</v>
      </c>
      <c r="V619" s="12"/>
      <c r="W619" s="14">
        <f t="shared" si="543"/>
        <v>14.97064225</v>
      </c>
      <c r="X619" s="8">
        <v>29945.0</v>
      </c>
      <c r="Y619" s="8">
        <v>1920.0</v>
      </c>
      <c r="Z619" s="8"/>
      <c r="AA619" s="8">
        <v>13.214</v>
      </c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 ht="15.75" customHeight="1">
      <c r="A620" s="6">
        <v>619.0</v>
      </c>
      <c r="B620" s="7">
        <v>49928.0</v>
      </c>
      <c r="C620" s="8">
        <v>131.4</v>
      </c>
      <c r="D620" s="8">
        <v>87.28</v>
      </c>
      <c r="E620" s="8">
        <v>78.32</v>
      </c>
      <c r="F620" s="8">
        <v>131.4</v>
      </c>
      <c r="G620" s="8">
        <v>87.28</v>
      </c>
      <c r="H620" s="8">
        <v>78.32</v>
      </c>
      <c r="I620" s="8">
        <v>65.0</v>
      </c>
      <c r="J620" s="8">
        <v>31.0</v>
      </c>
      <c r="K620" s="8">
        <v>80.9</v>
      </c>
      <c r="L620" s="9">
        <f t="shared" si="1"/>
        <v>327.8</v>
      </c>
      <c r="M620" s="9">
        <f t="shared" si="2"/>
        <v>195.9453751</v>
      </c>
      <c r="N620" s="9">
        <f t="shared" si="3"/>
        <v>280.4</v>
      </c>
      <c r="O620" s="9">
        <f t="shared" si="4"/>
        <v>281.2</v>
      </c>
      <c r="P620" s="9">
        <f t="shared" si="6"/>
        <v>280.6</v>
      </c>
      <c r="Q620" s="9">
        <f t="shared" ref="Q620:R620" si="619">average(L614:L620)</f>
        <v>287.6857143</v>
      </c>
      <c r="R620" s="9">
        <f t="shared" si="619"/>
        <v>183.9666496</v>
      </c>
      <c r="S620" s="11">
        <v>56.03</v>
      </c>
      <c r="T620" s="11">
        <v>47.205</v>
      </c>
      <c r="U620" s="12">
        <v>8.75</v>
      </c>
      <c r="V620" s="12"/>
      <c r="W620" s="14">
        <f t="shared" si="543"/>
        <v>14.97062145</v>
      </c>
      <c r="X620" s="8">
        <v>30362.0</v>
      </c>
      <c r="Y620" s="8">
        <v>1775.0</v>
      </c>
      <c r="Z620" s="8"/>
      <c r="AA620" s="8">
        <v>13.464</v>
      </c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 ht="15.75" customHeight="1">
      <c r="A621" s="6">
        <v>620.0</v>
      </c>
      <c r="B621" s="7">
        <v>49929.0</v>
      </c>
      <c r="C621" s="8">
        <v>130.2</v>
      </c>
      <c r="D621" s="8">
        <v>89.4</v>
      </c>
      <c r="E621" s="8">
        <v>80.4</v>
      </c>
      <c r="F621" s="8">
        <v>130.2</v>
      </c>
      <c r="G621" s="8">
        <v>89.4</v>
      </c>
      <c r="H621" s="8">
        <v>80.4</v>
      </c>
      <c r="I621" s="8">
        <v>70.0</v>
      </c>
      <c r="J621" s="8">
        <v>22.5</v>
      </c>
      <c r="K621" s="8">
        <v>81.1</v>
      </c>
      <c r="L621" s="9">
        <f t="shared" si="1"/>
        <v>330.4</v>
      </c>
      <c r="M621" s="9">
        <f t="shared" si="2"/>
        <v>199.9425204</v>
      </c>
      <c r="N621" s="9">
        <f t="shared" si="3"/>
        <v>327.8</v>
      </c>
      <c r="O621" s="9">
        <f t="shared" si="4"/>
        <v>280.4</v>
      </c>
      <c r="P621" s="9">
        <f t="shared" si="6"/>
        <v>281.4</v>
      </c>
      <c r="Q621" s="9">
        <f t="shared" ref="Q621:R621" si="620">average(L615:L621)</f>
        <v>294.8</v>
      </c>
      <c r="R621" s="9">
        <f t="shared" si="620"/>
        <v>184.7532104</v>
      </c>
      <c r="S621" s="11">
        <v>56.12</v>
      </c>
      <c r="T621" s="11">
        <v>48.9775</v>
      </c>
      <c r="U621" s="12">
        <v>8.95</v>
      </c>
      <c r="V621" s="12"/>
      <c r="W621" s="14">
        <f t="shared" si="543"/>
        <v>14.97059816</v>
      </c>
      <c r="X621" s="8">
        <v>32298.0</v>
      </c>
      <c r="Y621" s="8">
        <v>1735.0</v>
      </c>
      <c r="Z621" s="8"/>
      <c r="AA621" s="8">
        <v>14.273</v>
      </c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 ht="15.75" customHeight="1">
      <c r="A622" s="6">
        <v>621.0</v>
      </c>
      <c r="B622" s="7">
        <v>49930.0</v>
      </c>
      <c r="C622" s="8">
        <v>130.2</v>
      </c>
      <c r="D622" s="8">
        <v>87.37</v>
      </c>
      <c r="E622" s="8">
        <v>80.76</v>
      </c>
      <c r="F622" s="8">
        <v>130.2</v>
      </c>
      <c r="G622" s="8">
        <v>87.37</v>
      </c>
      <c r="H622" s="8">
        <v>80.76</v>
      </c>
      <c r="I622" s="8">
        <v>70.0</v>
      </c>
      <c r="J622" s="8">
        <v>25.6</v>
      </c>
      <c r="K622" s="8">
        <v>79.7</v>
      </c>
      <c r="L622" s="9">
        <f t="shared" si="1"/>
        <v>330.4</v>
      </c>
      <c r="M622" s="9">
        <f t="shared" si="2"/>
        <v>198.0205112</v>
      </c>
      <c r="N622" s="9">
        <f t="shared" si="3"/>
        <v>330.4</v>
      </c>
      <c r="O622" s="9">
        <f t="shared" si="4"/>
        <v>327.8</v>
      </c>
      <c r="P622" s="9">
        <f t="shared" si="6"/>
        <v>281.6</v>
      </c>
      <c r="Q622" s="9">
        <f t="shared" ref="Q622:R622" si="621">average(L616:L622)</f>
        <v>301.8</v>
      </c>
      <c r="R622" s="9">
        <f t="shared" si="621"/>
        <v>187.6993677</v>
      </c>
      <c r="S622" s="11">
        <v>56.34</v>
      </c>
      <c r="T622" s="11">
        <v>49.475</v>
      </c>
      <c r="U622" s="12">
        <v>10.44</v>
      </c>
      <c r="V622" s="12"/>
      <c r="W622" s="14">
        <f t="shared" si="543"/>
        <v>14.97057776</v>
      </c>
      <c r="X622" s="8">
        <v>31299.0</v>
      </c>
      <c r="Y622" s="8">
        <v>1850.0</v>
      </c>
      <c r="Z622" s="8"/>
      <c r="AA622" s="8">
        <v>14.088</v>
      </c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 ht="15.75" customHeight="1">
      <c r="A623" s="6">
        <v>622.0</v>
      </c>
      <c r="B623" s="7">
        <v>49931.0</v>
      </c>
      <c r="C623" s="8">
        <v>130.6</v>
      </c>
      <c r="D623" s="8">
        <v>87.84</v>
      </c>
      <c r="E623" s="8">
        <v>80.88</v>
      </c>
      <c r="F623" s="8">
        <v>130.6</v>
      </c>
      <c r="G623" s="8">
        <v>87.84</v>
      </c>
      <c r="H623" s="8">
        <v>80.88</v>
      </c>
      <c r="I623" s="8">
        <v>70.0</v>
      </c>
      <c r="J623" s="8">
        <v>21.4</v>
      </c>
      <c r="K623" s="8">
        <v>77.7</v>
      </c>
      <c r="L623" s="9">
        <f t="shared" si="1"/>
        <v>331.2</v>
      </c>
      <c r="M623" s="9">
        <f t="shared" si="2"/>
        <v>197.2089791</v>
      </c>
      <c r="N623" s="9">
        <f t="shared" si="3"/>
        <v>330.4</v>
      </c>
      <c r="O623" s="9">
        <f t="shared" si="4"/>
        <v>330.4</v>
      </c>
      <c r="P623" s="9">
        <f t="shared" si="6"/>
        <v>280.8</v>
      </c>
      <c r="Q623" s="9">
        <f t="shared" ref="Q623:R623" si="622">average(L617:L623)</f>
        <v>308.8857143</v>
      </c>
      <c r="R623" s="9">
        <f t="shared" si="622"/>
        <v>189.3132145</v>
      </c>
      <c r="S623" s="11">
        <v>56.31</v>
      </c>
      <c r="T623" s="11">
        <v>44.61666666666667</v>
      </c>
      <c r="U623" s="12">
        <v>7.85</v>
      </c>
      <c r="V623" s="12"/>
      <c r="W623" s="14">
        <f t="shared" si="543"/>
        <v>14.97056383</v>
      </c>
      <c r="X623" s="8">
        <v>31931.0</v>
      </c>
      <c r="Y623" s="8">
        <v>2075.0</v>
      </c>
      <c r="Z623" s="8"/>
      <c r="AA623" s="8">
        <v>14.172</v>
      </c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 ht="15.75" customHeight="1">
      <c r="A624" s="6">
        <v>623.0</v>
      </c>
      <c r="B624" s="7">
        <v>49932.0</v>
      </c>
      <c r="C624" s="8">
        <v>130.6</v>
      </c>
      <c r="D624" s="8">
        <v>81.81</v>
      </c>
      <c r="E624" s="8">
        <v>82.01</v>
      </c>
      <c r="F624" s="8">
        <v>130.6</v>
      </c>
      <c r="G624" s="8">
        <v>81.81</v>
      </c>
      <c r="H624" s="8">
        <v>82.01</v>
      </c>
      <c r="I624" s="8">
        <v>70.0</v>
      </c>
      <c r="J624" s="8">
        <v>21.3</v>
      </c>
      <c r="K624" s="8">
        <v>79.6</v>
      </c>
      <c r="L624" s="9">
        <f t="shared" si="1"/>
        <v>331.2</v>
      </c>
      <c r="M624" s="9">
        <f t="shared" si="2"/>
        <v>187.1136592</v>
      </c>
      <c r="N624" s="9">
        <f t="shared" si="3"/>
        <v>331.2</v>
      </c>
      <c r="O624" s="9">
        <f t="shared" si="4"/>
        <v>330.4</v>
      </c>
      <c r="P624" s="9">
        <f t="shared" si="6"/>
        <v>281.2</v>
      </c>
      <c r="Q624" s="9">
        <f t="shared" ref="Q624:R624" si="623">average(L618:L624)</f>
        <v>316.0857143</v>
      </c>
      <c r="R624" s="9">
        <f t="shared" si="623"/>
        <v>189.9562387</v>
      </c>
      <c r="S624" s="11">
        <v>54.53</v>
      </c>
      <c r="T624" s="11">
        <v>46.3125</v>
      </c>
      <c r="U624" s="12">
        <v>9.22</v>
      </c>
      <c r="V624" s="12"/>
      <c r="W624" s="14">
        <f t="shared" si="543"/>
        <v>14.97055831</v>
      </c>
      <c r="X624" s="8">
        <v>32805.0</v>
      </c>
      <c r="Y624" s="8">
        <v>2075.0</v>
      </c>
      <c r="Z624" s="8"/>
      <c r="AA624" s="8">
        <v>14.192</v>
      </c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 ht="15.75" customHeight="1">
      <c r="A625" s="6">
        <v>624.0</v>
      </c>
      <c r="B625" s="7">
        <v>49933.0</v>
      </c>
      <c r="C625" s="8">
        <v>130.7</v>
      </c>
      <c r="D625" s="8">
        <v>86.84</v>
      </c>
      <c r="E625" s="8">
        <v>79.01</v>
      </c>
      <c r="F625" s="8">
        <v>130.7</v>
      </c>
      <c r="G625" s="8">
        <v>86.84</v>
      </c>
      <c r="H625" s="8">
        <v>79.01</v>
      </c>
      <c r="I625" s="8">
        <v>56.0</v>
      </c>
      <c r="J625" s="8">
        <v>22.5</v>
      </c>
      <c r="K625" s="8">
        <v>79.5</v>
      </c>
      <c r="L625" s="9">
        <f t="shared" si="1"/>
        <v>317.4</v>
      </c>
      <c r="M625" s="9">
        <f t="shared" si="2"/>
        <v>189.3695104</v>
      </c>
      <c r="N625" s="9">
        <f t="shared" si="3"/>
        <v>331.2</v>
      </c>
      <c r="O625" s="9">
        <f t="shared" si="4"/>
        <v>331.2</v>
      </c>
      <c r="P625" s="9">
        <f t="shared" si="6"/>
        <v>280.4</v>
      </c>
      <c r="Q625" s="9">
        <f t="shared" ref="Q625:R625" si="624">average(L619:L625)</f>
        <v>321.2571429</v>
      </c>
      <c r="R625" s="9">
        <f t="shared" si="624"/>
        <v>191.1029253</v>
      </c>
      <c r="S625" s="11">
        <v>54.07</v>
      </c>
      <c r="T625" s="11">
        <v>46.1425</v>
      </c>
      <c r="U625" s="12">
        <v>9.93</v>
      </c>
      <c r="V625" s="12"/>
      <c r="W625" s="14">
        <f t="shared" si="543"/>
        <v>14.97056085</v>
      </c>
      <c r="X625" s="8">
        <v>28621.0</v>
      </c>
      <c r="Y625" s="8">
        <v>2090.0</v>
      </c>
      <c r="Z625" s="8"/>
      <c r="AA625" s="8">
        <v>12.341</v>
      </c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 ht="15.75" customHeight="1">
      <c r="A626" s="6">
        <v>625.0</v>
      </c>
      <c r="B626" s="7">
        <v>49934.0</v>
      </c>
      <c r="C626" s="8">
        <v>95.1</v>
      </c>
      <c r="D626" s="8">
        <v>89.49</v>
      </c>
      <c r="E626" s="8">
        <v>79.06</v>
      </c>
      <c r="F626" s="8">
        <v>95.1</v>
      </c>
      <c r="G626" s="8">
        <v>89.49</v>
      </c>
      <c r="H626" s="8">
        <v>79.06</v>
      </c>
      <c r="I626" s="8">
        <v>53.0</v>
      </c>
      <c r="J626" s="8">
        <v>22.3</v>
      </c>
      <c r="K626" s="8">
        <v>79.6</v>
      </c>
      <c r="L626" s="9">
        <f t="shared" si="1"/>
        <v>243.2</v>
      </c>
      <c r="M626" s="9">
        <f t="shared" si="2"/>
        <v>143.9759342</v>
      </c>
      <c r="N626" s="9">
        <f t="shared" si="3"/>
        <v>317.4</v>
      </c>
      <c r="O626" s="9">
        <f t="shared" si="4"/>
        <v>331.2</v>
      </c>
      <c r="P626" s="9">
        <f t="shared" si="6"/>
        <v>327.8</v>
      </c>
      <c r="Q626" s="9">
        <f t="shared" ref="Q626:R626" si="625">average(L620:L626)</f>
        <v>315.9428571</v>
      </c>
      <c r="R626" s="9">
        <f t="shared" si="625"/>
        <v>187.3680699</v>
      </c>
      <c r="S626" s="11">
        <v>53.87</v>
      </c>
      <c r="T626" s="11">
        <v>46.11</v>
      </c>
      <c r="U626" s="12">
        <v>6.75</v>
      </c>
      <c r="V626" s="12"/>
      <c r="W626" s="14">
        <f t="shared" si="543"/>
        <v>14.97056796</v>
      </c>
      <c r="X626" s="8">
        <v>26559.0</v>
      </c>
      <c r="Y626" s="8">
        <v>1500.0</v>
      </c>
      <c r="Z626" s="8"/>
      <c r="AA626" s="8">
        <v>11.983</v>
      </c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 ht="15.75" customHeight="1">
      <c r="A627" s="6">
        <v>626.0</v>
      </c>
      <c r="B627" s="7">
        <v>49935.0</v>
      </c>
      <c r="C627" s="8">
        <v>130.7</v>
      </c>
      <c r="D627" s="8">
        <v>89.99</v>
      </c>
      <c r="E627" s="8">
        <v>82.52</v>
      </c>
      <c r="F627" s="8">
        <v>130.7</v>
      </c>
      <c r="G627" s="8">
        <v>89.99</v>
      </c>
      <c r="H627" s="8">
        <v>82.52</v>
      </c>
      <c r="I627" s="8">
        <v>20.0</v>
      </c>
      <c r="J627" s="8">
        <v>21.0</v>
      </c>
      <c r="K627" s="8">
        <v>79.9</v>
      </c>
      <c r="L627" s="9">
        <f t="shared" si="1"/>
        <v>281.4</v>
      </c>
      <c r="M627" s="9">
        <f t="shared" si="2"/>
        <v>197.4707813</v>
      </c>
      <c r="N627" s="9">
        <f t="shared" si="3"/>
        <v>243.2</v>
      </c>
      <c r="O627" s="9">
        <f t="shared" si="4"/>
        <v>317.4</v>
      </c>
      <c r="P627" s="9">
        <f t="shared" si="6"/>
        <v>330.4</v>
      </c>
      <c r="Q627" s="9">
        <f t="shared" ref="Q627:R627" si="626">average(L621:L627)</f>
        <v>309.3142857</v>
      </c>
      <c r="R627" s="9">
        <f t="shared" si="626"/>
        <v>187.5859851</v>
      </c>
      <c r="S627" s="11">
        <v>52.74</v>
      </c>
      <c r="T627" s="11">
        <v>45.5625</v>
      </c>
      <c r="U627" s="12">
        <v>9.24</v>
      </c>
      <c r="V627" s="12"/>
      <c r="W627" s="14">
        <f t="shared" si="543"/>
        <v>14.97057689</v>
      </c>
      <c r="X627" s="8">
        <v>33073.0</v>
      </c>
      <c r="Y627" s="8">
        <v>1785.0</v>
      </c>
      <c r="Z627" s="8"/>
      <c r="AA627" s="8">
        <v>14.441</v>
      </c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 ht="15.75" customHeight="1">
      <c r="A628" s="6">
        <v>627.0</v>
      </c>
      <c r="B628" s="7">
        <v>49936.0</v>
      </c>
      <c r="C628" s="8">
        <v>130.8</v>
      </c>
      <c r="D628" s="8">
        <v>86.31</v>
      </c>
      <c r="E628" s="8">
        <v>82.89</v>
      </c>
      <c r="F628" s="8">
        <v>130.8</v>
      </c>
      <c r="G628" s="8">
        <v>86.31</v>
      </c>
      <c r="H628" s="8">
        <v>82.89</v>
      </c>
      <c r="I628" s="8">
        <v>0.0</v>
      </c>
      <c r="J628" s="8">
        <v>22.4</v>
      </c>
      <c r="K628" s="8">
        <v>78.4</v>
      </c>
      <c r="L628" s="9">
        <f t="shared" si="1"/>
        <v>261.6</v>
      </c>
      <c r="M628" s="9">
        <f t="shared" si="2"/>
        <v>187.1548111</v>
      </c>
      <c r="N628" s="9">
        <f t="shared" si="3"/>
        <v>281.4</v>
      </c>
      <c r="O628" s="9">
        <f t="shared" si="4"/>
        <v>243.2</v>
      </c>
      <c r="P628" s="9">
        <f t="shared" si="6"/>
        <v>330.4</v>
      </c>
      <c r="Q628" s="9">
        <f t="shared" ref="Q628:R628" si="627">average(L622:L628)</f>
        <v>299.4857143</v>
      </c>
      <c r="R628" s="9">
        <f t="shared" si="627"/>
        <v>185.7591695</v>
      </c>
      <c r="S628" s="11">
        <v>53.17</v>
      </c>
      <c r="T628" s="11">
        <v>45.85249999999999</v>
      </c>
      <c r="U628" s="12">
        <v>8.95</v>
      </c>
      <c r="V628" s="12"/>
      <c r="W628" s="14">
        <f t="shared" si="543"/>
        <v>14.97058558</v>
      </c>
      <c r="X628" s="8">
        <v>31954.0</v>
      </c>
      <c r="Y628" s="8">
        <v>1710.0</v>
      </c>
      <c r="Z628" s="8"/>
      <c r="AA628" s="8">
        <v>13.844</v>
      </c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 ht="15.75" customHeight="1">
      <c r="A629" s="6">
        <v>628.0</v>
      </c>
      <c r="B629" s="7">
        <v>49937.0</v>
      </c>
      <c r="C629" s="8">
        <v>130.6</v>
      </c>
      <c r="D629" s="8">
        <v>87.95</v>
      </c>
      <c r="E629" s="8">
        <v>79.29</v>
      </c>
      <c r="F629" s="8">
        <v>130.6</v>
      </c>
      <c r="G629" s="8">
        <v>87.95</v>
      </c>
      <c r="H629" s="8">
        <v>79.29</v>
      </c>
      <c r="I629" s="8">
        <v>20.0</v>
      </c>
      <c r="J629" s="8">
        <v>25.3</v>
      </c>
      <c r="K629" s="8">
        <v>79.3</v>
      </c>
      <c r="L629" s="9">
        <f t="shared" si="1"/>
        <v>281.2</v>
      </c>
      <c r="M629" s="9">
        <f t="shared" si="2"/>
        <v>186.1618497</v>
      </c>
      <c r="N629" s="9">
        <f t="shared" si="3"/>
        <v>261.6</v>
      </c>
      <c r="O629" s="9">
        <f t="shared" si="4"/>
        <v>281.4</v>
      </c>
      <c r="P629" s="9">
        <f t="shared" si="6"/>
        <v>331.2</v>
      </c>
      <c r="Q629" s="9">
        <f t="shared" ref="Q629:R629" si="628">average(L623:L629)</f>
        <v>292.4571429</v>
      </c>
      <c r="R629" s="9">
        <f t="shared" si="628"/>
        <v>184.065075</v>
      </c>
      <c r="S629" s="11">
        <v>53.8</v>
      </c>
      <c r="T629" s="11">
        <v>46.035000000000004</v>
      </c>
      <c r="U629" s="12">
        <v>9.48</v>
      </c>
      <c r="V629" s="12"/>
      <c r="W629" s="14">
        <f t="shared" si="543"/>
        <v>14.97059269</v>
      </c>
      <c r="X629" s="8">
        <v>31777.0</v>
      </c>
      <c r="Y629" s="8">
        <v>1810.0</v>
      </c>
      <c r="Z629" s="8"/>
      <c r="AA629" s="8">
        <v>14.637</v>
      </c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 ht="15.75" customHeight="1">
      <c r="A630" s="6">
        <v>629.0</v>
      </c>
      <c r="B630" s="7">
        <v>49938.0</v>
      </c>
      <c r="C630" s="8">
        <v>130.4</v>
      </c>
      <c r="D630" s="8">
        <v>86.53</v>
      </c>
      <c r="E630" s="8">
        <v>80.02</v>
      </c>
      <c r="F630" s="8">
        <v>130.4</v>
      </c>
      <c r="G630" s="8">
        <v>86.53</v>
      </c>
      <c r="H630" s="8">
        <v>80.02</v>
      </c>
      <c r="I630" s="8">
        <v>60.0</v>
      </c>
      <c r="J630" s="8">
        <v>24.0</v>
      </c>
      <c r="K630" s="8">
        <v>82.0</v>
      </c>
      <c r="L630" s="9">
        <f t="shared" si="1"/>
        <v>320.8</v>
      </c>
      <c r="M630" s="9">
        <f t="shared" si="2"/>
        <v>192.389326</v>
      </c>
      <c r="N630" s="9">
        <f t="shared" si="3"/>
        <v>281.2</v>
      </c>
      <c r="O630" s="9">
        <f t="shared" si="4"/>
        <v>261.6</v>
      </c>
      <c r="P630" s="9">
        <f t="shared" si="6"/>
        <v>331.2</v>
      </c>
      <c r="Q630" s="9">
        <f t="shared" ref="Q630:R630" si="629">average(L624:L630)</f>
        <v>290.9714286</v>
      </c>
      <c r="R630" s="9">
        <f t="shared" si="629"/>
        <v>183.3765531</v>
      </c>
      <c r="S630" s="11">
        <v>53.38</v>
      </c>
      <c r="T630" s="11">
        <v>45.925000000000004</v>
      </c>
      <c r="U630" s="12">
        <v>9.59</v>
      </c>
      <c r="V630" s="12"/>
      <c r="W630" s="14">
        <f t="shared" si="543"/>
        <v>14.97059749</v>
      </c>
      <c r="X630" s="8">
        <v>33409.0</v>
      </c>
      <c r="Y630" s="8">
        <v>1950.0</v>
      </c>
      <c r="Z630" s="8"/>
      <c r="AA630" s="8">
        <v>14.118</v>
      </c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 ht="15.75" customHeight="1">
      <c r="A631" s="6">
        <v>630.0</v>
      </c>
      <c r="B631" s="7">
        <v>49939.0</v>
      </c>
      <c r="C631" s="8">
        <v>130.5</v>
      </c>
      <c r="D631" s="8">
        <v>89.3</v>
      </c>
      <c r="E631" s="8">
        <v>80.89</v>
      </c>
      <c r="F631" s="8">
        <v>130.5</v>
      </c>
      <c r="G631" s="8">
        <v>89.3</v>
      </c>
      <c r="H631" s="8">
        <v>80.89</v>
      </c>
      <c r="I631" s="8">
        <v>60.0</v>
      </c>
      <c r="J631" s="8">
        <v>22.2</v>
      </c>
      <c r="K631" s="8">
        <v>78.1</v>
      </c>
      <c r="L631" s="9">
        <f t="shared" si="1"/>
        <v>321</v>
      </c>
      <c r="M631" s="9">
        <f t="shared" si="2"/>
        <v>198.9356697</v>
      </c>
      <c r="N631" s="9">
        <f t="shared" si="3"/>
        <v>320.8</v>
      </c>
      <c r="O631" s="9">
        <f t="shared" si="4"/>
        <v>281.2</v>
      </c>
      <c r="P631" s="9">
        <f t="shared" si="6"/>
        <v>317.4</v>
      </c>
      <c r="Q631" s="9">
        <f t="shared" ref="Q631:R631" si="630">average(L625:L631)</f>
        <v>289.5142857</v>
      </c>
      <c r="R631" s="9">
        <f t="shared" si="630"/>
        <v>185.0654118</v>
      </c>
      <c r="S631" s="11">
        <v>52.75</v>
      </c>
      <c r="T631" s="11">
        <v>45.7025</v>
      </c>
      <c r="U631" s="12">
        <v>9.01</v>
      </c>
      <c r="V631" s="12"/>
      <c r="W631" s="14">
        <f t="shared" si="543"/>
        <v>14.97059965</v>
      </c>
      <c r="X631" s="8">
        <v>38214.0</v>
      </c>
      <c r="Y631" s="8">
        <v>1950.0</v>
      </c>
      <c r="Z631" s="8"/>
      <c r="AA631" s="8">
        <v>16.282</v>
      </c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 ht="15.75" customHeight="1">
      <c r="A632" s="6">
        <v>631.0</v>
      </c>
      <c r="B632" s="7">
        <v>49940.0</v>
      </c>
      <c r="C632" s="8">
        <v>130.0</v>
      </c>
      <c r="D632" s="8">
        <v>86.91</v>
      </c>
      <c r="E632" s="8">
        <v>83.73</v>
      </c>
      <c r="F632" s="8">
        <v>130.0</v>
      </c>
      <c r="G632" s="8">
        <v>86.91</v>
      </c>
      <c r="H632" s="8">
        <v>83.73</v>
      </c>
      <c r="I632" s="8">
        <v>40.0</v>
      </c>
      <c r="J632" s="8">
        <v>21.5</v>
      </c>
      <c r="K632" s="8">
        <v>80.4</v>
      </c>
      <c r="L632" s="9">
        <f t="shared" si="1"/>
        <v>300</v>
      </c>
      <c r="M632" s="9">
        <f t="shared" si="2"/>
        <v>196.1157318</v>
      </c>
      <c r="N632" s="9">
        <f t="shared" si="3"/>
        <v>321</v>
      </c>
      <c r="O632" s="9">
        <f t="shared" si="4"/>
        <v>320.8</v>
      </c>
      <c r="P632" s="9">
        <f t="shared" si="6"/>
        <v>243.2</v>
      </c>
      <c r="Q632" s="9">
        <f t="shared" ref="Q632:R632" si="631">average(L626:L632)</f>
        <v>287.0285714</v>
      </c>
      <c r="R632" s="9">
        <f t="shared" si="631"/>
        <v>186.0291577</v>
      </c>
      <c r="S632" s="11">
        <v>52.67</v>
      </c>
      <c r="T632" s="11">
        <v>45.97</v>
      </c>
      <c r="U632" s="12">
        <v>8.79</v>
      </c>
      <c r="V632" s="12"/>
      <c r="W632" s="14">
        <f t="shared" si="543"/>
        <v>14.97059929</v>
      </c>
      <c r="X632" s="8">
        <v>33914.0</v>
      </c>
      <c r="Y632" s="8">
        <v>1880.0</v>
      </c>
      <c r="Z632" s="8"/>
      <c r="AA632" s="8">
        <v>13.222</v>
      </c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 ht="15.75" customHeight="1">
      <c r="A633" s="6">
        <v>632.0</v>
      </c>
      <c r="B633" s="7">
        <v>49941.0</v>
      </c>
      <c r="C633" s="8">
        <v>130.2</v>
      </c>
      <c r="D633" s="8">
        <v>85.04</v>
      </c>
      <c r="E633" s="8">
        <v>76.2</v>
      </c>
      <c r="F633" s="8">
        <v>130.2</v>
      </c>
      <c r="G633" s="8">
        <v>85.04</v>
      </c>
      <c r="H633" s="8">
        <v>76.2</v>
      </c>
      <c r="I633" s="8">
        <v>50.0</v>
      </c>
      <c r="J633" s="8">
        <v>24.0</v>
      </c>
      <c r="K633" s="8">
        <v>77.2</v>
      </c>
      <c r="L633" s="9">
        <f t="shared" si="1"/>
        <v>310.4</v>
      </c>
      <c r="M633" s="9">
        <f t="shared" si="2"/>
        <v>178.0044499</v>
      </c>
      <c r="N633" s="9">
        <f t="shared" si="3"/>
        <v>300</v>
      </c>
      <c r="O633" s="9">
        <f t="shared" si="4"/>
        <v>321</v>
      </c>
      <c r="P633" s="9">
        <f t="shared" si="6"/>
        <v>281.4</v>
      </c>
      <c r="Q633" s="9">
        <f t="shared" ref="Q633:R633" si="632">average(L627:L633)</f>
        <v>296.6285714</v>
      </c>
      <c r="R633" s="9">
        <f t="shared" si="632"/>
        <v>190.8903742</v>
      </c>
      <c r="S633" s="11">
        <v>52.98</v>
      </c>
      <c r="T633" s="11">
        <v>46.43</v>
      </c>
      <c r="U633" s="12">
        <v>10.31</v>
      </c>
      <c r="V633" s="12"/>
      <c r="W633" s="14">
        <f t="shared" si="543"/>
        <v>14.97059693</v>
      </c>
      <c r="X633" s="8">
        <v>34337.0</v>
      </c>
      <c r="Y633" s="8">
        <v>2035.0</v>
      </c>
      <c r="Z633" s="8"/>
      <c r="AA633" s="8">
        <v>14.058</v>
      </c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 ht="15.75" customHeight="1">
      <c r="A634" s="6">
        <v>633.0</v>
      </c>
      <c r="B634" s="7">
        <v>49942.0</v>
      </c>
      <c r="C634" s="8">
        <v>130.2</v>
      </c>
      <c r="D634" s="8">
        <v>86.6</v>
      </c>
      <c r="E634" s="8">
        <v>77.24</v>
      </c>
      <c r="F634" s="8">
        <v>130.2</v>
      </c>
      <c r="G634" s="8">
        <v>86.6</v>
      </c>
      <c r="H634" s="8">
        <v>77.24</v>
      </c>
      <c r="I634" s="8">
        <v>60.0</v>
      </c>
      <c r="J634" s="8">
        <v>22.8</v>
      </c>
      <c r="K634" s="8">
        <v>79.9</v>
      </c>
      <c r="L634" s="9">
        <f t="shared" si="1"/>
        <v>320.4</v>
      </c>
      <c r="M634" s="9">
        <f t="shared" si="2"/>
        <v>185.1114634</v>
      </c>
      <c r="N634" s="9">
        <f t="shared" si="3"/>
        <v>310.4</v>
      </c>
      <c r="O634" s="9">
        <f t="shared" si="4"/>
        <v>300</v>
      </c>
      <c r="P634" s="9">
        <f t="shared" si="6"/>
        <v>261.6</v>
      </c>
      <c r="Q634" s="9">
        <f t="shared" ref="Q634:R634" si="633">average(L628:L634)</f>
        <v>302.2</v>
      </c>
      <c r="R634" s="9">
        <f t="shared" si="633"/>
        <v>189.1247574</v>
      </c>
      <c r="S634" s="11">
        <v>55.08</v>
      </c>
      <c r="T634" s="11">
        <v>45.5725</v>
      </c>
      <c r="U634" s="12">
        <v>8.91</v>
      </c>
      <c r="V634" s="12"/>
      <c r="W634" s="14">
        <f t="shared" si="543"/>
        <v>14.97059337</v>
      </c>
      <c r="X634" s="8">
        <v>35628.0</v>
      </c>
      <c r="Y634" s="8">
        <v>1830.0</v>
      </c>
      <c r="Z634" s="8"/>
      <c r="AA634" s="8">
        <v>14.696</v>
      </c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 ht="15.75" customHeight="1">
      <c r="A635" s="6">
        <v>634.0</v>
      </c>
      <c r="B635" s="7">
        <v>49943.0</v>
      </c>
      <c r="C635" s="8">
        <v>130.6</v>
      </c>
      <c r="D635" s="8">
        <v>87.61</v>
      </c>
      <c r="E635" s="8">
        <v>80.29</v>
      </c>
      <c r="F635" s="8">
        <v>130.6</v>
      </c>
      <c r="G635" s="8">
        <v>87.61</v>
      </c>
      <c r="H635" s="8">
        <v>80.29</v>
      </c>
      <c r="I635" s="8">
        <v>30.0</v>
      </c>
      <c r="J635" s="8">
        <v>23.4</v>
      </c>
      <c r="K635" s="8">
        <v>79.6</v>
      </c>
      <c r="L635" s="9">
        <f t="shared" si="1"/>
        <v>291.2</v>
      </c>
      <c r="M635" s="9">
        <f t="shared" si="2"/>
        <v>189.3214042</v>
      </c>
      <c r="N635" s="9">
        <f t="shared" si="3"/>
        <v>320.4</v>
      </c>
      <c r="O635" s="9">
        <f t="shared" si="4"/>
        <v>310.4</v>
      </c>
      <c r="P635" s="9">
        <f t="shared" si="6"/>
        <v>281.2</v>
      </c>
      <c r="Q635" s="9">
        <f t="shared" ref="Q635:R635" si="634">average(L629:L635)</f>
        <v>306.4285714</v>
      </c>
      <c r="R635" s="9">
        <f t="shared" si="634"/>
        <v>189.4342707</v>
      </c>
      <c r="S635" s="11">
        <v>55.14</v>
      </c>
      <c r="T635" s="11">
        <v>45.2975</v>
      </c>
      <c r="U635" s="12">
        <v>10.15</v>
      </c>
      <c r="V635" s="12"/>
      <c r="W635" s="14">
        <f t="shared" si="543"/>
        <v>14.97058953</v>
      </c>
      <c r="X635" s="8">
        <v>36446.0</v>
      </c>
      <c r="Y635" s="8">
        <v>2080.0</v>
      </c>
      <c r="Z635" s="8"/>
      <c r="AA635" s="8">
        <v>14.644</v>
      </c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 ht="15.75" customHeight="1">
      <c r="A636" s="6">
        <v>635.0</v>
      </c>
      <c r="B636" s="7">
        <v>49944.0</v>
      </c>
      <c r="C636" s="8">
        <v>135.4</v>
      </c>
      <c r="D636" s="8">
        <v>87.22</v>
      </c>
      <c r="E636" s="8">
        <v>78.01</v>
      </c>
      <c r="F636" s="8">
        <v>135.4</v>
      </c>
      <c r="G636" s="8">
        <v>87.22</v>
      </c>
      <c r="H636" s="8">
        <v>78.01</v>
      </c>
      <c r="I636" s="8">
        <v>45.0</v>
      </c>
      <c r="J636" s="8">
        <v>21.5</v>
      </c>
      <c r="K636" s="8">
        <v>78.4</v>
      </c>
      <c r="L636" s="9">
        <f t="shared" si="1"/>
        <v>315.8</v>
      </c>
      <c r="M636" s="9">
        <f t="shared" si="2"/>
        <v>191.838392</v>
      </c>
      <c r="N636" s="9">
        <f t="shared" si="3"/>
        <v>291.2</v>
      </c>
      <c r="O636" s="9">
        <f t="shared" si="4"/>
        <v>320.4</v>
      </c>
      <c r="P636" s="9">
        <f t="shared" si="6"/>
        <v>320.8</v>
      </c>
      <c r="Q636" s="9">
        <f t="shared" ref="Q636:R636" si="635">average(L630:L636)</f>
        <v>311.3714286</v>
      </c>
      <c r="R636" s="9">
        <f t="shared" si="635"/>
        <v>190.2452053</v>
      </c>
      <c r="S636" s="11">
        <v>56.98</v>
      </c>
      <c r="T636" s="11">
        <v>45.709999999999994</v>
      </c>
      <c r="U636" s="12">
        <v>8.75</v>
      </c>
      <c r="V636" s="12"/>
      <c r="W636" s="14">
        <f t="shared" si="543"/>
        <v>14.97058623</v>
      </c>
      <c r="X636" s="8">
        <v>36435.0</v>
      </c>
      <c r="Y636" s="8">
        <v>1845.0</v>
      </c>
      <c r="Z636" s="8"/>
      <c r="AA636" s="8">
        <v>14.672</v>
      </c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 ht="15.75" customHeight="1">
      <c r="A637" s="6">
        <v>636.0</v>
      </c>
      <c r="B637" s="7">
        <v>49945.0</v>
      </c>
      <c r="C637" s="8">
        <v>135.1</v>
      </c>
      <c r="D637" s="8">
        <v>87.52</v>
      </c>
      <c r="E637" s="8">
        <v>80.63</v>
      </c>
      <c r="F637" s="8">
        <v>135.1</v>
      </c>
      <c r="G637" s="8">
        <v>87.52</v>
      </c>
      <c r="H637" s="8">
        <v>80.63</v>
      </c>
      <c r="I637" s="8">
        <v>20.0</v>
      </c>
      <c r="J637" s="8">
        <v>20.0</v>
      </c>
      <c r="K637" s="8">
        <v>76.2</v>
      </c>
      <c r="L637" s="9">
        <f t="shared" si="1"/>
        <v>290.2</v>
      </c>
      <c r="M637" s="9">
        <f t="shared" si="2"/>
        <v>193.72105</v>
      </c>
      <c r="N637" s="9">
        <f t="shared" si="3"/>
        <v>315.8</v>
      </c>
      <c r="O637" s="9">
        <f t="shared" si="4"/>
        <v>291.2</v>
      </c>
      <c r="P637" s="9">
        <f t="shared" si="6"/>
        <v>321</v>
      </c>
      <c r="Q637" s="9">
        <f t="shared" ref="Q637:R637" si="636">average(L631:L637)</f>
        <v>307</v>
      </c>
      <c r="R637" s="9">
        <f t="shared" si="636"/>
        <v>190.4354516</v>
      </c>
      <c r="S637" s="11">
        <v>56.92</v>
      </c>
      <c r="T637" s="11">
        <v>45.715</v>
      </c>
      <c r="U637" s="12">
        <v>10.58</v>
      </c>
      <c r="V637" s="12"/>
      <c r="W637" s="14">
        <f t="shared" si="543"/>
        <v>14.97058403</v>
      </c>
      <c r="X637" s="8">
        <v>36857.0</v>
      </c>
      <c r="Y637" s="8">
        <v>2175.0</v>
      </c>
      <c r="Z637" s="8"/>
      <c r="AA637" s="8">
        <v>15.15</v>
      </c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 ht="15.75" customHeight="1">
      <c r="A638" s="6">
        <v>637.0</v>
      </c>
      <c r="B638" s="7">
        <v>49946.0</v>
      </c>
      <c r="C638" s="8">
        <v>140.6</v>
      </c>
      <c r="D638" s="8">
        <v>84.68</v>
      </c>
      <c r="E638" s="8">
        <v>78.27</v>
      </c>
      <c r="F638" s="8">
        <v>140.6</v>
      </c>
      <c r="G638" s="8">
        <v>84.68</v>
      </c>
      <c r="H638" s="8">
        <v>78.27</v>
      </c>
      <c r="I638" s="8">
        <v>60.0</v>
      </c>
      <c r="J638" s="8">
        <v>30.7</v>
      </c>
      <c r="K638" s="8">
        <v>79.1</v>
      </c>
      <c r="L638" s="9">
        <f t="shared" si="1"/>
        <v>341.2</v>
      </c>
      <c r="M638" s="9">
        <f t="shared" si="2"/>
        <v>200.9468692</v>
      </c>
      <c r="N638" s="9">
        <f t="shared" si="3"/>
        <v>290.2</v>
      </c>
      <c r="O638" s="9">
        <f t="shared" si="4"/>
        <v>315.8</v>
      </c>
      <c r="P638" s="9">
        <f t="shared" si="6"/>
        <v>300</v>
      </c>
      <c r="Q638" s="9">
        <f t="shared" ref="Q638:R638" si="637">average(L632:L638)</f>
        <v>309.8857143</v>
      </c>
      <c r="R638" s="9">
        <f t="shared" si="637"/>
        <v>190.7227658</v>
      </c>
      <c r="S638" s="11">
        <v>57.67</v>
      </c>
      <c r="T638" s="11">
        <v>45.9825</v>
      </c>
      <c r="U638" s="12">
        <v>9.54</v>
      </c>
      <c r="V638" s="12"/>
      <c r="W638" s="14">
        <f t="shared" si="543"/>
        <v>14.97058315</v>
      </c>
      <c r="X638" s="8">
        <v>37225.0</v>
      </c>
      <c r="Y638" s="8">
        <v>1995.0</v>
      </c>
      <c r="Z638" s="8"/>
      <c r="AA638" s="8">
        <v>15.076</v>
      </c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 ht="15.75" customHeight="1">
      <c r="A639" s="6">
        <v>638.0</v>
      </c>
      <c r="B639" s="7">
        <v>49947.0</v>
      </c>
      <c r="C639" s="8">
        <v>116.8</v>
      </c>
      <c r="D639" s="8">
        <v>89.77</v>
      </c>
      <c r="E639" s="8">
        <v>83.36</v>
      </c>
      <c r="F639" s="8">
        <v>116.8</v>
      </c>
      <c r="G639" s="8">
        <v>89.77</v>
      </c>
      <c r="H639" s="8">
        <v>83.36</v>
      </c>
      <c r="I639" s="8">
        <v>60.0</v>
      </c>
      <c r="J639" s="8">
        <v>22.2</v>
      </c>
      <c r="K639" s="8">
        <v>77.8</v>
      </c>
      <c r="L639" s="9">
        <f t="shared" si="1"/>
        <v>293.6</v>
      </c>
      <c r="M639" s="9">
        <f t="shared" si="2"/>
        <v>185.1711474</v>
      </c>
      <c r="N639" s="9">
        <f t="shared" si="3"/>
        <v>341.2</v>
      </c>
      <c r="O639" s="9">
        <f t="shared" si="4"/>
        <v>290.2</v>
      </c>
      <c r="P639" s="9">
        <f t="shared" si="6"/>
        <v>310.4</v>
      </c>
      <c r="Q639" s="9">
        <f t="shared" ref="Q639:R639" si="638">average(L633:L639)</f>
        <v>308.9714286</v>
      </c>
      <c r="R639" s="9">
        <f t="shared" si="638"/>
        <v>189.1592537</v>
      </c>
      <c r="S639" s="11">
        <v>56.46</v>
      </c>
      <c r="T639" s="11">
        <v>45.68</v>
      </c>
      <c r="U639" s="12">
        <v>9.62</v>
      </c>
      <c r="V639" s="12"/>
      <c r="W639" s="14">
        <f t="shared" si="543"/>
        <v>14.97058349</v>
      </c>
      <c r="X639" s="8">
        <v>36206.0</v>
      </c>
      <c r="Y639" s="8">
        <v>2010.0</v>
      </c>
      <c r="Z639" s="8"/>
      <c r="AA639" s="8">
        <v>14.449</v>
      </c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 ht="15.75" customHeight="1">
      <c r="A640" s="6">
        <v>639.0</v>
      </c>
      <c r="B640" s="7">
        <v>49948.0</v>
      </c>
      <c r="C640" s="8">
        <v>117.2</v>
      </c>
      <c r="D640" s="8">
        <v>87.23</v>
      </c>
      <c r="E640" s="8">
        <v>79.88</v>
      </c>
      <c r="F640" s="8">
        <v>117.2</v>
      </c>
      <c r="G640" s="8">
        <v>87.23</v>
      </c>
      <c r="H640" s="8">
        <v>79.88</v>
      </c>
      <c r="I640" s="8">
        <v>60.0</v>
      </c>
      <c r="J640" s="8">
        <v>21.3</v>
      </c>
      <c r="K640" s="8">
        <v>76.9</v>
      </c>
      <c r="L640" s="9">
        <f t="shared" si="1"/>
        <v>294.4</v>
      </c>
      <c r="M640" s="9">
        <f t="shared" si="2"/>
        <v>173.1561555</v>
      </c>
      <c r="N640" s="9">
        <f t="shared" si="3"/>
        <v>293.6</v>
      </c>
      <c r="O640" s="9">
        <f t="shared" si="4"/>
        <v>341.2</v>
      </c>
      <c r="P640" s="9">
        <f t="shared" si="6"/>
        <v>320.4</v>
      </c>
      <c r="Q640" s="9">
        <f t="shared" ref="Q640:R640" si="639">average(L634:L640)</f>
        <v>306.6857143</v>
      </c>
      <c r="R640" s="9">
        <f t="shared" si="639"/>
        <v>188.4666402</v>
      </c>
      <c r="S640" s="11">
        <v>56.37</v>
      </c>
      <c r="T640" s="11">
        <v>44.9925</v>
      </c>
      <c r="U640" s="12">
        <v>9.57</v>
      </c>
      <c r="V640" s="12"/>
      <c r="W640" s="14">
        <f t="shared" si="543"/>
        <v>14.97058472</v>
      </c>
      <c r="X640" s="8">
        <v>37383.0</v>
      </c>
      <c r="Y640" s="8">
        <v>2235.0</v>
      </c>
      <c r="Z640" s="8"/>
      <c r="AA640" s="8">
        <v>15.48</v>
      </c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 ht="15.75" customHeight="1">
      <c r="A641" s="6">
        <v>640.0</v>
      </c>
      <c r="B641" s="7">
        <v>49949.0</v>
      </c>
      <c r="C641" s="8">
        <v>132.7</v>
      </c>
      <c r="D641" s="8">
        <v>87.52</v>
      </c>
      <c r="E641" s="8">
        <v>83.62</v>
      </c>
      <c r="F641" s="8">
        <v>132.7</v>
      </c>
      <c r="G641" s="8">
        <v>87.52</v>
      </c>
      <c r="H641" s="8">
        <v>83.62</v>
      </c>
      <c r="I641" s="8">
        <v>60.0</v>
      </c>
      <c r="J641" s="8">
        <v>22.7</v>
      </c>
      <c r="K641" s="8">
        <v>82.7</v>
      </c>
      <c r="L641" s="9">
        <f t="shared" si="1"/>
        <v>325.4</v>
      </c>
      <c r="M641" s="9">
        <f t="shared" si="2"/>
        <v>205.4946705</v>
      </c>
      <c r="N641" s="9">
        <f t="shared" si="3"/>
        <v>294.4</v>
      </c>
      <c r="O641" s="9">
        <f t="shared" si="4"/>
        <v>293.6</v>
      </c>
      <c r="P641" s="9">
        <f t="shared" si="6"/>
        <v>291.2</v>
      </c>
      <c r="Q641" s="9">
        <f t="shared" ref="Q641:R641" si="640">average(L635:L641)</f>
        <v>307.4</v>
      </c>
      <c r="R641" s="9">
        <f t="shared" si="640"/>
        <v>191.378527</v>
      </c>
      <c r="S641" s="11">
        <v>56.42</v>
      </c>
      <c r="T641" s="11">
        <v>45.6575</v>
      </c>
      <c r="U641" s="12">
        <v>8.9</v>
      </c>
      <c r="V641" s="12"/>
      <c r="W641" s="14">
        <f t="shared" si="543"/>
        <v>14.97058637</v>
      </c>
      <c r="X641" s="8">
        <v>35294.0</v>
      </c>
      <c r="Y641" s="8">
        <v>2270.0</v>
      </c>
      <c r="Z641" s="8"/>
      <c r="AA641" s="8">
        <v>14.764</v>
      </c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 ht="15.75" customHeight="1">
      <c r="A642" s="6">
        <v>641.0</v>
      </c>
      <c r="B642" s="7">
        <v>49950.0</v>
      </c>
      <c r="C642" s="8">
        <v>135.0</v>
      </c>
      <c r="D642" s="8">
        <v>86.8</v>
      </c>
      <c r="E642" s="8">
        <v>81.3</v>
      </c>
      <c r="F642" s="8">
        <v>135.0</v>
      </c>
      <c r="G642" s="8">
        <v>86.8</v>
      </c>
      <c r="H642" s="8">
        <v>81.3</v>
      </c>
      <c r="I642" s="8">
        <v>35.0</v>
      </c>
      <c r="J642" s="8">
        <v>23.8</v>
      </c>
      <c r="K642" s="8">
        <v>81.6</v>
      </c>
      <c r="L642" s="9">
        <f t="shared" si="1"/>
        <v>305</v>
      </c>
      <c r="M642" s="9">
        <f t="shared" si="2"/>
        <v>197.33196</v>
      </c>
      <c r="N642" s="9">
        <f t="shared" si="3"/>
        <v>325.4</v>
      </c>
      <c r="O642" s="9">
        <f t="shared" si="4"/>
        <v>294.4</v>
      </c>
      <c r="P642" s="9">
        <f t="shared" si="6"/>
        <v>315.8</v>
      </c>
      <c r="Q642" s="9">
        <f t="shared" ref="Q642:R642" si="641">average(L636:L642)</f>
        <v>309.3714286</v>
      </c>
      <c r="R642" s="9">
        <f t="shared" si="641"/>
        <v>192.5228921</v>
      </c>
      <c r="S642" s="11">
        <v>56.42</v>
      </c>
      <c r="T642" s="11">
        <v>45.6575</v>
      </c>
      <c r="U642" s="12">
        <v>10.62</v>
      </c>
      <c r="V642" s="12"/>
      <c r="W642" s="14">
        <f t="shared" si="543"/>
        <v>14.97058796</v>
      </c>
      <c r="X642" s="8">
        <v>32572.0</v>
      </c>
      <c r="Y642" s="8">
        <v>2000.0</v>
      </c>
      <c r="Z642" s="8"/>
      <c r="AA642" s="8">
        <v>14.201</v>
      </c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 ht="15.75" customHeight="1">
      <c r="A643" s="6">
        <v>642.0</v>
      </c>
      <c r="B643" s="7">
        <v>49951.0</v>
      </c>
      <c r="C643" s="8">
        <v>124.0</v>
      </c>
      <c r="D643" s="8">
        <v>86.3</v>
      </c>
      <c r="E643" s="8">
        <v>78.3</v>
      </c>
      <c r="F643" s="8">
        <v>124.0</v>
      </c>
      <c r="G643" s="8">
        <v>86.3</v>
      </c>
      <c r="H643" s="8">
        <v>78.3</v>
      </c>
      <c r="I643" s="8">
        <v>60.0</v>
      </c>
      <c r="J643" s="8">
        <v>22.0</v>
      </c>
      <c r="K643" s="8">
        <v>76.9</v>
      </c>
      <c r="L643" s="9">
        <f t="shared" si="1"/>
        <v>308</v>
      </c>
      <c r="M643" s="9">
        <f t="shared" si="2"/>
        <v>177.731592</v>
      </c>
      <c r="N643" s="9">
        <f t="shared" si="3"/>
        <v>305</v>
      </c>
      <c r="O643" s="9">
        <f t="shared" si="4"/>
        <v>325.4</v>
      </c>
      <c r="P643" s="9">
        <f t="shared" si="6"/>
        <v>290.2</v>
      </c>
      <c r="Q643" s="9">
        <f t="shared" ref="Q643:R643" si="642">average(L637:L643)</f>
        <v>308.2571429</v>
      </c>
      <c r="R643" s="9">
        <f t="shared" si="642"/>
        <v>190.5076349</v>
      </c>
      <c r="S643" s="11">
        <v>56.03</v>
      </c>
      <c r="T643" s="11">
        <v>45.0725</v>
      </c>
      <c r="U643" s="12">
        <v>10.32</v>
      </c>
      <c r="V643" s="12"/>
      <c r="W643" s="14">
        <f t="shared" si="543"/>
        <v>14.97058921</v>
      </c>
      <c r="X643" s="8">
        <v>33634.0</v>
      </c>
      <c r="Y643" s="8">
        <v>2205.0</v>
      </c>
      <c r="Z643" s="8"/>
      <c r="AA643" s="8">
        <v>14.886</v>
      </c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 ht="15.75" customHeight="1">
      <c r="A644" s="6">
        <v>643.0</v>
      </c>
      <c r="B644" s="7">
        <v>49952.0</v>
      </c>
      <c r="C644" s="8">
        <v>131.0</v>
      </c>
      <c r="D644" s="8">
        <v>85.4</v>
      </c>
      <c r="E644" s="8">
        <v>83.0</v>
      </c>
      <c r="F644" s="8">
        <v>131.0</v>
      </c>
      <c r="G644" s="8">
        <v>85.4</v>
      </c>
      <c r="H644" s="8">
        <v>83.0</v>
      </c>
      <c r="I644" s="8">
        <v>41.0</v>
      </c>
      <c r="J644" s="8">
        <v>22.0</v>
      </c>
      <c r="K644" s="8">
        <v>78.6</v>
      </c>
      <c r="L644" s="9">
        <f t="shared" si="1"/>
        <v>303</v>
      </c>
      <c r="M644" s="9">
        <f t="shared" si="2"/>
        <v>192.80056</v>
      </c>
      <c r="N644" s="9">
        <f t="shared" si="3"/>
        <v>308</v>
      </c>
      <c r="O644" s="9">
        <f t="shared" si="4"/>
        <v>305</v>
      </c>
      <c r="P644" s="9">
        <f t="shared" si="6"/>
        <v>341.2</v>
      </c>
      <c r="Q644" s="9">
        <f t="shared" ref="Q644:R644" si="643">average(L638:L644)</f>
        <v>310.0857143</v>
      </c>
      <c r="R644" s="9">
        <f t="shared" si="643"/>
        <v>190.3761364</v>
      </c>
      <c r="S644" s="11">
        <v>56.03</v>
      </c>
      <c r="T644" s="11">
        <v>45.0725</v>
      </c>
      <c r="U644" s="12">
        <v>8.95</v>
      </c>
      <c r="V644" s="12"/>
      <c r="W644" s="14">
        <f t="shared" si="543"/>
        <v>14.97058998</v>
      </c>
      <c r="X644" s="8">
        <v>34100.0</v>
      </c>
      <c r="Y644" s="8">
        <v>1930.0</v>
      </c>
      <c r="Z644" s="8"/>
      <c r="AA644" s="8">
        <v>15.211</v>
      </c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 ht="15.75" customHeight="1">
      <c r="A645" s="6">
        <v>644.0</v>
      </c>
      <c r="B645" s="7">
        <v>49953.0</v>
      </c>
      <c r="C645" s="8">
        <v>131.0</v>
      </c>
      <c r="D645" s="8">
        <v>87.0</v>
      </c>
      <c r="E645" s="8">
        <v>80.6</v>
      </c>
      <c r="F645" s="8">
        <v>131.0</v>
      </c>
      <c r="G645" s="8">
        <v>87.0</v>
      </c>
      <c r="H645" s="8">
        <v>80.6</v>
      </c>
      <c r="I645" s="8">
        <v>60.0</v>
      </c>
      <c r="J645" s="8">
        <v>21.6</v>
      </c>
      <c r="K645" s="8">
        <v>77.9</v>
      </c>
      <c r="L645" s="9">
        <f t="shared" si="1"/>
        <v>322</v>
      </c>
      <c r="M645" s="9">
        <f t="shared" si="2"/>
        <v>193.81548</v>
      </c>
      <c r="N645" s="9">
        <f t="shared" si="3"/>
        <v>303</v>
      </c>
      <c r="O645" s="9">
        <f t="shared" si="4"/>
        <v>308</v>
      </c>
      <c r="P645" s="9">
        <f t="shared" si="6"/>
        <v>293.6</v>
      </c>
      <c r="Q645" s="9">
        <f t="shared" ref="Q645:R645" si="644">average(L639:L645)</f>
        <v>307.3428571</v>
      </c>
      <c r="R645" s="9">
        <f t="shared" si="644"/>
        <v>189.3573665</v>
      </c>
      <c r="S645" s="11">
        <v>56.03</v>
      </c>
      <c r="T645" s="11">
        <v>45.0725</v>
      </c>
      <c r="U645" s="12">
        <v>9.21</v>
      </c>
      <c r="V645" s="12"/>
      <c r="W645" s="14">
        <f t="shared" si="543"/>
        <v>14.97059026</v>
      </c>
      <c r="X645" s="8">
        <v>34100.0</v>
      </c>
      <c r="Y645" s="8">
        <v>1930.0</v>
      </c>
      <c r="Z645" s="8"/>
      <c r="AA645" s="8">
        <v>15.211</v>
      </c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 ht="15.75" customHeight="1">
      <c r="A646" s="6">
        <v>645.0</v>
      </c>
      <c r="B646" s="7">
        <v>49954.0</v>
      </c>
      <c r="C646" s="8">
        <v>111.0</v>
      </c>
      <c r="D646" s="8">
        <v>88.5</v>
      </c>
      <c r="E646" s="8">
        <v>80.5</v>
      </c>
      <c r="F646" s="8">
        <v>111.0</v>
      </c>
      <c r="G646" s="8">
        <v>88.5</v>
      </c>
      <c r="H646" s="8">
        <v>80.5</v>
      </c>
      <c r="I646" s="8">
        <v>60.0</v>
      </c>
      <c r="J646" s="8">
        <v>19.6</v>
      </c>
      <c r="K646" s="8">
        <v>80.1</v>
      </c>
      <c r="L646" s="9">
        <f t="shared" si="1"/>
        <v>282</v>
      </c>
      <c r="M646" s="9">
        <f t="shared" si="2"/>
        <v>167.57811</v>
      </c>
      <c r="N646" s="9">
        <f t="shared" si="3"/>
        <v>322</v>
      </c>
      <c r="O646" s="9">
        <f t="shared" si="4"/>
        <v>303</v>
      </c>
      <c r="P646" s="9">
        <f t="shared" si="6"/>
        <v>294.4</v>
      </c>
      <c r="Q646" s="9">
        <f t="shared" ref="Q646:R646" si="645">average(L640:L646)</f>
        <v>305.6857143</v>
      </c>
      <c r="R646" s="9">
        <f t="shared" si="645"/>
        <v>186.8440754</v>
      </c>
      <c r="S646" s="11">
        <v>56.03</v>
      </c>
      <c r="T646" s="11">
        <v>45.0725</v>
      </c>
      <c r="U646" s="12">
        <v>11.0</v>
      </c>
      <c r="V646" s="12"/>
      <c r="W646" s="14">
        <f t="shared" si="543"/>
        <v>14.9705901</v>
      </c>
      <c r="X646" s="8">
        <v>33619.0</v>
      </c>
      <c r="Y646" s="8">
        <v>2250.0</v>
      </c>
      <c r="Z646" s="8"/>
      <c r="AA646" s="8">
        <v>15.002</v>
      </c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 ht="15.75" customHeight="1">
      <c r="A647" s="6">
        <v>646.0</v>
      </c>
      <c r="B647" s="7">
        <v>49955.0</v>
      </c>
      <c r="C647" s="8">
        <v>134.0</v>
      </c>
      <c r="D647" s="8">
        <v>89.1</v>
      </c>
      <c r="E647" s="8">
        <v>82.2</v>
      </c>
      <c r="F647" s="8">
        <v>134.0</v>
      </c>
      <c r="G647" s="8">
        <v>89.1</v>
      </c>
      <c r="H647" s="8">
        <v>82.2</v>
      </c>
      <c r="I647" s="8">
        <v>100.0</v>
      </c>
      <c r="J647" s="8">
        <v>22.0</v>
      </c>
      <c r="K647" s="8">
        <v>79.1</v>
      </c>
      <c r="L647" s="9">
        <f t="shared" si="1"/>
        <v>368</v>
      </c>
      <c r="M647" s="9">
        <f t="shared" si="2"/>
        <v>213.685736</v>
      </c>
      <c r="N647" s="9">
        <f t="shared" si="3"/>
        <v>282</v>
      </c>
      <c r="O647" s="9">
        <f t="shared" si="4"/>
        <v>322</v>
      </c>
      <c r="P647" s="9">
        <f t="shared" si="6"/>
        <v>325.4</v>
      </c>
      <c r="Q647" s="9">
        <f t="shared" ref="Q647:R647" si="646">average(L641:L647)</f>
        <v>316.2</v>
      </c>
      <c r="R647" s="9">
        <f t="shared" si="646"/>
        <v>192.6340155</v>
      </c>
      <c r="S647" s="11">
        <v>56.03</v>
      </c>
      <c r="T647" s="11">
        <v>45.0725</v>
      </c>
      <c r="U647" s="12">
        <v>8.46</v>
      </c>
      <c r="V647" s="12"/>
      <c r="W647" s="14">
        <f t="shared" si="543"/>
        <v>14.97058964</v>
      </c>
      <c r="X647" s="8">
        <v>33119.0</v>
      </c>
      <c r="Y647" s="8">
        <v>2135.0</v>
      </c>
      <c r="Z647" s="8"/>
      <c r="AA647" s="8">
        <v>14.893</v>
      </c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2026-02-21T10:20:05Z</dcterms:created>
  <dc:creator>openpyxl</dc:creator>
</cp:coreProperties>
</file>